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26a9e86e1940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7c0e32a1f6f7412f"/>
    <x:sheet xmlns:r="http://schemas.openxmlformats.org/officeDocument/2006/relationships" name="Setup" sheetId="2" r:id="Raf076d63881e4d00"/>
    <x:sheet xmlns:r="http://schemas.openxmlformats.org/officeDocument/2006/relationships" name="Weekly_Input" sheetId="3" r:id="Rdf0d1b0a854f42ca"/>
    <x:sheet xmlns:r="http://schemas.openxmlformats.org/officeDocument/2006/relationships" name="Dashboard" sheetId="4" r:id="Rbfefd482c6b74a9e"/>
    <x:sheet xmlns:r="http://schemas.openxmlformats.org/officeDocument/2006/relationships" name="Checks" sheetId="5" r:id="Rcbfdb41963cd42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%"/>
    <x:numFmt numFmtId="201" formatCode="&quot;AED&quot; #,##0;[Red]-&quot;AED&quot; #,##0"/>
    <x:numFmt numFmtId="202" formatCode="&quot;AED&quot; #,##0.00;[Red]-&quot;AED&quot; #,##0.00"/>
    <x:numFmt numFmtId="203" formatCode="dd-mmm-yyyy"/>
  </x:numFmts>
  <x:fonts count="11">
    <x:font>
      <x:sz val="11"/>
      <x:name val="Carlito"/>
    </x:font>
    <x:font>
      <x:sz val="11"/>
      <x:color rgb="111827"/>
      <x:name val="Carlito"/>
    </x:font>
    <x:font>
      <x:sz val="10"/>
      <x:color rgb="111827"/>
      <x:name val="Carlito"/>
    </x:font>
    <x:font>
      <x:sz val="10"/>
      <x:color rgb="FFFFFF"/>
      <x:name val="Carlito"/>
    </x:font>
    <x:font>
      <x:b/>
      <x:sz val="10"/>
      <x:color rgb="FFFFFF"/>
      <x:name val="Carlito"/>
    </x:font>
    <x:font>
      <x:b/>
      <x:sz val="22"/>
      <x:color rgb="FFFFFF"/>
      <x:name val="Carlito"/>
    </x:font>
    <x:font>
      <x:sz val="10"/>
      <x:color rgb="52606D"/>
      <x:name val="Carlito"/>
    </x:font>
    <x:font>
      <x:b/>
      <x:sz val="10"/>
      <x:color rgb="111827"/>
      <x:name val="Carlito"/>
    </x:font>
    <x:font>
      <x:b/>
      <x:sz val="12"/>
      <x:color rgb="111827"/>
      <x:name val="Carlito"/>
    </x:font>
    <x:font>
      <x:b/>
      <x:sz val="10"/>
      <x:color rgb="52606D"/>
      <x:name val="Carlito"/>
    </x:font>
    <x:font>
      <x:b/>
      <x:sz val="13"/>
      <x:color rgb="111827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7FAFC"/>
      </x:patternFill>
    </x:fill>
    <x:fill>
      <x:patternFill patternType="solid">
        <x:fgColor rgb="0F172A"/>
      </x:patternFill>
    </x:fill>
    <x:fill>
      <x:patternFill patternType="solid">
        <x:fgColor rgb="EEF4F8"/>
      </x:patternFill>
    </x:fill>
    <x:fill>
      <x:patternFill patternType="solid">
        <x:fgColor rgb="FFFFFF"/>
      </x:patternFill>
    </x:fill>
    <x:fill>
      <x:patternFill patternType="solid">
        <x:fgColor rgb="FFF4E5"/>
      </x:patternFill>
    </x:fill>
    <x:fill>
      <x:patternFill patternType="solid">
        <x:fgColor rgb="E7F1FF"/>
      </x:patternFill>
    </x:fill>
    <x:fill>
      <x:patternFill patternType="solid">
        <x:fgColor rgb="EAFBF3"/>
      </x:patternFill>
    </x:fill>
  </x:fills>
  <x:borders count="198">
    <x:border/>
    <x:border/>
    <x:border>
      <x:top/>
    </x:border>
    <x:border>
      <x:top/>
    </x:border>
    <x:border>
      <x:top>
        <x:color indexed="1"/>
      </x:top>
    </x:border>
    <x:border>
      <x:top>
        <x:color indexed="1"/>
      </x:top>
    </x:border>
    <x:border>
      <x:top>
        <x:color indexed="1" rgb="C4D0DD"/>
      </x:top>
    </x:border>
    <x:border>
      <x:top>
        <x:color indexed="1" rgb="C4D0DD"/>
      </x:top>
    </x:border>
    <x:border>
      <x:bottom/>
    </x:border>
    <x:border>
      <x:bottom/>
    </x:border>
    <x:border>
      <x:bottom>
        <x:color indexed="1"/>
      </x:bottom>
    </x:border>
    <x:border>
      <x:bottom>
        <x:color indexed="1"/>
      </x:bottom>
    </x:border>
    <x:border>
      <x:bottom>
        <x:color indexed="1" rgb="C4D0DD"/>
      </x:bottom>
    </x:border>
    <x:border>
      <x:bottom>
        <x:color indexed="1" rgb="C4D0DD"/>
      </x:bottom>
    </x:border>
    <x:border>
      <x:left/>
      <x:top>
        <x:color indexed="1" rgb="C4D0DD"/>
      </x:top>
    </x:border>
    <x:border>
      <x:left/>
    </x:border>
    <x:border>
      <x:left/>
      <x:bottom>
        <x:color indexed="1" rgb="C4D0DD"/>
      </x:bottom>
    </x:border>
    <x:border>
      <x:left/>
      <x:top>
        <x:color indexed="1" rgb="C4D0DD"/>
      </x:top>
    </x:border>
    <x:border>
      <x:left/>
    </x:border>
    <x:border>
      <x:left/>
      <x:bottom>
        <x:color indexed="1" rgb="C4D0DD"/>
      </x:bottom>
    </x:border>
    <x:border>
      <x:left>
        <x:color indexed="1"/>
      </x:left>
      <x:top>
        <x:color indexed="1" rgb="C4D0DD"/>
      </x:top>
    </x:border>
    <x:border>
      <x:left>
        <x:color indexed="1"/>
      </x:left>
    </x:border>
    <x:border>
      <x:left>
        <x:color indexed="1"/>
      </x:left>
      <x:bottom>
        <x:color indexed="1" rgb="C4D0DD"/>
      </x:bottom>
    </x:border>
    <x:border>
      <x:left>
        <x:color indexed="1"/>
      </x:left>
      <x:top>
        <x:color indexed="1" rgb="C4D0DD"/>
      </x:top>
    </x:border>
    <x:border>
      <x:left>
        <x:color indexed="1"/>
      </x:left>
    </x:border>
    <x:border>
      <x:left>
        <x:color indexed="1"/>
      </x:left>
      <x:bottom>
        <x:color indexed="1" rgb="C4D0DD"/>
      </x:bottom>
    </x:border>
    <x:border>
      <x:left>
        <x:color indexed="1" rgb="C4D0DD"/>
      </x:left>
      <x:top>
        <x:color indexed="1" rgb="C4D0DD"/>
      </x:top>
    </x:border>
    <x:border>
      <x:left>
        <x:color indexed="1" rgb="C4D0DD"/>
      </x:left>
    </x:border>
    <x:border>
      <x:left>
        <x:color indexed="1" rgb="C4D0DD"/>
      </x:left>
      <x:bottom>
        <x:color indexed="1" rgb="C4D0DD"/>
      </x:bottom>
    </x:border>
    <x:border>
      <x:left>
        <x:color indexed="1" rgb="C4D0DD"/>
      </x:left>
      <x:top>
        <x:color indexed="1" rgb="C4D0DD"/>
      </x:top>
    </x:border>
    <x:border>
      <x:left>
        <x:color indexed="1" rgb="C4D0DD"/>
      </x:left>
    </x:border>
    <x:border>
      <x:left>
        <x:color indexed="1" rgb="C4D0DD"/>
      </x:left>
      <x:bottom>
        <x:color indexed="1" rgb="C4D0DD"/>
      </x:bottom>
    </x:border>
    <x:border>
      <x:right/>
      <x:top>
        <x:color indexed="1" rgb="C4D0DD"/>
      </x:top>
    </x:border>
    <x:border>
      <x:right/>
    </x:border>
    <x:border>
      <x:right/>
      <x:bottom>
        <x:color indexed="1" rgb="C4D0DD"/>
      </x:bottom>
    </x:border>
    <x:border>
      <x:right/>
      <x:top>
        <x:color indexed="1" rgb="C4D0DD"/>
      </x:top>
    </x:border>
    <x:border>
      <x:right/>
    </x:border>
    <x:border>
      <x:right/>
      <x:bottom>
        <x:color indexed="1" rgb="C4D0DD"/>
      </x:bottom>
    </x:border>
    <x:border>
      <x:right>
        <x:color indexed="1"/>
      </x:right>
      <x:top>
        <x:color indexed="1" rgb="C4D0DD"/>
      </x:top>
    </x:border>
    <x:border>
      <x:right>
        <x:color indexed="1"/>
      </x:right>
    </x:border>
    <x:border>
      <x:right>
        <x:color indexed="1"/>
      </x:right>
      <x:bottom>
        <x:color indexed="1" rgb="C4D0DD"/>
      </x:bottom>
    </x:border>
    <x:border>
      <x:right>
        <x:color indexed="1"/>
      </x:right>
      <x:top>
        <x:color indexed="1" rgb="C4D0DD"/>
      </x:top>
    </x:border>
    <x:border>
      <x:right>
        <x:color indexed="1"/>
      </x:right>
    </x:border>
    <x:border>
      <x:right>
        <x:color indexed="1"/>
      </x:right>
      <x:bottom>
        <x:color indexed="1" rgb="C4D0DD"/>
      </x:bottom>
    </x:border>
    <x:border>
      <x:right>
        <x:color indexed="1" rgb="C4D0DD"/>
      </x:right>
      <x:top>
        <x:color indexed="1" rgb="C4D0DD"/>
      </x:top>
    </x:border>
    <x:border>
      <x:right>
        <x:color indexed="1" rgb="C4D0DD"/>
      </x:right>
    </x:border>
    <x:border>
      <x:right>
        <x:color indexed="1" rgb="C4D0DD"/>
      </x:right>
      <x:bottom>
        <x:color indexed="1" rgb="C4D0DD"/>
      </x:bottom>
    </x:border>
    <x:border>
      <x:right>
        <x:color indexed="1" rgb="C4D0DD"/>
      </x:right>
      <x:top>
        <x:color indexed="1" rgb="C4D0DD"/>
      </x:top>
    </x:border>
    <x:border>
      <x:right>
        <x:color indexed="1" rgb="C4D0DD"/>
      </x:right>
    </x:border>
    <x:border>
      <x:right>
        <x:color indexed="1" rgb="C4D0DD"/>
      </x:right>
      <x:bottom>
        <x:color indexed="1" rgb="C4D0DD"/>
      </x:bottom>
    </x:border>
    <x:border>
      <x:top>
        <x:color indexed="1" rgb="C4D0DD"/>
      </x:top>
      <x:bottom/>
    </x:border>
    <x:border>
      <x:top>
        <x:color indexed="1" rgb="C4D0DD"/>
      </x:top>
      <x:bottom/>
    </x:border>
    <x:border>
      <x:top>
        <x:color indexed="1" rgb="C4D0DD"/>
      </x:top>
      <x:bottom>
        <x:color indexed="1"/>
      </x:bottom>
    </x:border>
    <x:border>
      <x:top>
        <x:color indexed="1" rgb="C4D0DD"/>
      </x:top>
      <x:bottom>
        <x:color indexed="1"/>
      </x:bottom>
    </x:border>
    <x:border>
      <x:top>
        <x:color indexed="1" rgb="C4D0DD"/>
      </x:top>
      <x:bottom>
        <x:color indexed="1" rgb="C4D0DD"/>
      </x:bottom>
    </x:border>
    <x:border>
      <x:top>
        <x:color indexed="1" rgb="C4D0DD"/>
      </x:top>
      <x:bottom>
        <x:color indexed="1" rgb="C4D0DD"/>
      </x:bottom>
    </x:border>
    <x:border>
      <x:left/>
      <x:top>
        <x:color indexed="1" rgb="C4D0DD"/>
      </x:top>
      <x:bottom>
        <x:color indexed="1" rgb="C4D0DD"/>
      </x:bottom>
    </x:border>
    <x:border>
      <x:left/>
      <x:top>
        <x:color indexed="1" rgb="C4D0DD"/>
      </x:top>
      <x:bottom>
        <x:color indexed="1" rgb="C4D0DD"/>
      </x:bottom>
    </x:border>
    <x:border>
      <x:left>
        <x:color indexed="1"/>
      </x:left>
      <x:top>
        <x:color indexed="1" rgb="C4D0DD"/>
      </x:top>
      <x:bottom>
        <x:color indexed="1" rgb="C4D0DD"/>
      </x:bottom>
    </x:border>
    <x:border>
      <x:left>
        <x:color indexed="1"/>
      </x:left>
      <x:top>
        <x:color indexed="1" rgb="C4D0DD"/>
      </x:top>
      <x:bottom>
        <x:color indexed="1" rgb="C4D0DD"/>
      </x:bottom>
    </x:border>
    <x:border>
      <x:left>
        <x:color indexed="1" rgb="C4D0DD"/>
      </x:left>
      <x:top>
        <x:color indexed="1" rgb="C4D0DD"/>
      </x:top>
      <x:bottom>
        <x:color indexed="1" rgb="C4D0DD"/>
      </x:bottom>
    </x:border>
    <x:border>
      <x:left>
        <x:color indexed="1" rgb="C4D0DD"/>
      </x:left>
      <x:top>
        <x:color indexed="1" rgb="C4D0DD"/>
      </x:top>
      <x:bottom>
        <x:color indexed="1" rgb="C4D0DD"/>
      </x:bottom>
    </x:border>
    <x:border>
      <x:right/>
      <x:top>
        <x:color indexed="1" rgb="C4D0DD"/>
      </x:top>
      <x:bottom>
        <x:color indexed="1" rgb="C4D0DD"/>
      </x:bottom>
    </x:border>
    <x:border>
      <x:right/>
      <x:top>
        <x:color indexed="1" rgb="C4D0DD"/>
      </x:top>
      <x:bottom>
        <x:color indexed="1" rgb="C4D0DD"/>
      </x:bottom>
    </x:border>
    <x:border>
      <x:right>
        <x:color indexed="1"/>
      </x:right>
      <x:top>
        <x:color indexed="1" rgb="C4D0DD"/>
      </x:top>
      <x:bottom>
        <x:color indexed="1" rgb="C4D0DD"/>
      </x:bottom>
    </x:border>
    <x:border>
      <x:right>
        <x:color indexed="1"/>
      </x:right>
      <x:top>
        <x:color indexed="1" rgb="C4D0DD"/>
      </x:top>
      <x:bottom>
        <x:color indexed="1" rgb="C4D0DD"/>
      </x:bottom>
    </x:border>
    <x:border>
      <x:right>
        <x:color indexed="1" rgb="C4D0DD"/>
      </x:right>
      <x:top>
        <x:color indexed="1" rgb="C4D0DD"/>
      </x:top>
      <x:bottom>
        <x:color indexed="1" rgb="C4D0DD"/>
      </x:bottom>
    </x:border>
    <x:border>
      <x:right>
        <x:color indexed="1" rgb="C4D0DD"/>
      </x:right>
      <x:top>
        <x:color indexed="1" rgb="C4D0DD"/>
      </x:top>
      <x:bottom>
        <x:color indexed="1" rgb="C4D0DD"/>
      </x:bottom>
    </x:border>
    <x:border>
      <x:top>
        <x:color indexed="1" rgb="D9E2EC"/>
      </x:top>
    </x:border>
    <x:border>
      <x:top>
        <x:color indexed="1" rgb="D9E2EC"/>
      </x:top>
    </x:border>
    <x:border>
      <x:top>
        <x:color indexed="1" rgb="D9E2EC"/>
      </x:top>
      <x:bottom/>
    </x:border>
    <x:border>
      <x:top>
        <x:color indexed="1" rgb="D9E2EC"/>
      </x:top>
      <x:bottom/>
    </x:border>
    <x:border>
      <x:top>
        <x:color indexed="1" rgb="D9E2EC"/>
      </x:top>
      <x:bottom>
        <x:color indexed="1"/>
      </x:bottom>
    </x:border>
    <x:border>
      <x:top>
        <x:color indexed="1" rgb="D9E2EC"/>
      </x:top>
      <x:bottom>
        <x:color indexed="1"/>
      </x:bottom>
    </x:border>
    <x:border>
      <x:top>
        <x:color indexed="1" rgb="D9E2EC"/>
      </x:top>
      <x:bottom>
        <x:color indexed="1" rgb="D9E2EC"/>
      </x:bottom>
    </x:border>
    <x:border>
      <x:top>
        <x:color indexed="1" rgb="D9E2EC"/>
      </x:top>
      <x:bottom>
        <x:color indexed="1" rgb="D9E2EC"/>
      </x:bottom>
    </x:border>
    <x:border>
      <x:left/>
      <x:top>
        <x:color indexed="1" rgb="D9E2EC"/>
      </x:top>
      <x:bottom>
        <x:color indexed="1" rgb="D9E2EC"/>
      </x:bottom>
    </x:border>
    <x:border>
      <x:left/>
      <x:top>
        <x:color indexed="1" rgb="D9E2EC"/>
      </x:top>
      <x:bottom>
        <x:color indexed="1" rgb="D9E2EC"/>
      </x:bottom>
    </x:border>
    <x:border>
      <x:left>
        <x:color indexed="1"/>
      </x:left>
      <x:top>
        <x:color indexed="1" rgb="D9E2EC"/>
      </x:top>
      <x:bottom>
        <x:color indexed="1" rgb="D9E2EC"/>
      </x:bottom>
    </x:border>
    <x:border>
      <x:left>
        <x:color indexed="1"/>
      </x:left>
      <x:top>
        <x:color indexed="1" rgb="D9E2EC"/>
      </x:top>
      <x:bottom>
        <x:color indexed="1" rgb="D9E2EC"/>
      </x:bottom>
    </x:border>
    <x:border>
      <x:left>
        <x:color indexed="1" rgb="D9E2EC"/>
      </x:left>
      <x:top>
        <x:color indexed="1" rgb="D9E2EC"/>
      </x:top>
      <x:bottom>
        <x:color indexed="1" rgb="D9E2EC"/>
      </x:bottom>
    </x:border>
    <x:border>
      <x:left>
        <x:color indexed="1" rgb="D9E2EC"/>
      </x:left>
      <x:top>
        <x:color indexed="1" rgb="D9E2EC"/>
      </x:top>
      <x:bottom>
        <x:color indexed="1" rgb="D9E2EC"/>
      </x:bottom>
    </x:border>
    <x:border>
      <x:right/>
      <x:top>
        <x:color indexed="1" rgb="D9E2EC"/>
      </x:top>
      <x:bottom>
        <x:color indexed="1" rgb="D9E2EC"/>
      </x:bottom>
    </x:border>
    <x:border>
      <x:right/>
      <x:top>
        <x:color indexed="1" rgb="D9E2EC"/>
      </x:top>
      <x:bottom>
        <x:color indexed="1" rgb="D9E2EC"/>
      </x:bottom>
    </x:border>
    <x:border>
      <x:right>
        <x:color indexed="1"/>
      </x:right>
      <x:top>
        <x:color indexed="1" rgb="D9E2EC"/>
      </x:top>
      <x:bottom>
        <x:color indexed="1" rgb="D9E2EC"/>
      </x:bottom>
    </x:border>
    <x:border>
      <x:right>
        <x:color indexed="1"/>
      </x:right>
      <x:top>
        <x:color indexed="1" rgb="D9E2EC"/>
      </x:top>
      <x:bottom>
        <x:color indexed="1" rgb="D9E2EC"/>
      </x:bottom>
    </x:border>
    <x:border>
      <x:right>
        <x:color indexed="1" rgb="D9E2EC"/>
      </x:right>
      <x:top>
        <x:color indexed="1" rgb="D9E2EC"/>
      </x:top>
      <x:bottom>
        <x:color indexed="1" rgb="D9E2EC"/>
      </x:bottom>
    </x:border>
    <x:border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/>
      <x:top>
        <x:color indexed="1" rgb="D9E2EC"/>
      </x:top>
      <x:bottom>
        <x:color indexed="1" rgb="D9E2EC"/>
      </x:bottom>
    </x:border>
    <x:border>
      <x:left/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/>
      <x:top>
        <x:color indexed="1" rgb="D9E2EC"/>
      </x:top>
      <x:bottom>
        <x:color indexed="1" rgb="D9E2EC"/>
      </x:bottom>
    </x:border>
    <x:border>
      <x:left/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>
        <x:color indexed="1"/>
      </x:right>
      <x:top>
        <x:color indexed="1" rgb="D9E2EC"/>
      </x:top>
      <x:bottom>
        <x:color indexed="1" rgb="D9E2EC"/>
      </x:bottom>
    </x:border>
    <x:border>
      <x:left>
        <x:color indexed="1"/>
      </x:left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>
        <x:color indexed="1"/>
      </x:right>
      <x:top>
        <x:color indexed="1" rgb="D9E2EC"/>
      </x:top>
      <x:bottom>
        <x:color indexed="1" rgb="D9E2EC"/>
      </x:bottom>
    </x:border>
    <x:border>
      <x:left>
        <x:color indexed="1"/>
      </x:left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>
        <x:color indexed="1" rgb="D9E2EC"/>
      </x:right>
      <x:top>
        <x:color indexed="1" rgb="D9E2EC"/>
      </x:top>
      <x:bottom>
        <x:color indexed="1" rgb="D9E2EC"/>
      </x:bottom>
    </x:border>
    <x:border>
      <x:bottom>
        <x:color indexed="1" rgb="D9E2EC"/>
      </x:bottom>
    </x:border>
    <x:border>
      <x:bottom>
        <x:color indexed="1" rgb="D9E2EC"/>
      </x:bottom>
    </x:border>
    <x:border>
      <x:left/>
      <x:top>
        <x:color indexed="1" rgb="D9E2EC"/>
      </x:top>
    </x:border>
    <x:border>
      <x:left/>
      <x:bottom>
        <x:color indexed="1" rgb="D9E2EC"/>
      </x:bottom>
    </x:border>
    <x:border>
      <x:left/>
      <x:top>
        <x:color indexed="1" rgb="D9E2EC"/>
      </x:top>
    </x:border>
    <x:border>
      <x:left/>
      <x:bottom>
        <x:color indexed="1" rgb="D9E2EC"/>
      </x:bottom>
    </x:border>
    <x:border>
      <x:left>
        <x:color indexed="1"/>
      </x:left>
      <x:top>
        <x:color indexed="1" rgb="D9E2EC"/>
      </x:top>
    </x:border>
    <x:border>
      <x:left>
        <x:color indexed="1"/>
      </x:left>
      <x:bottom>
        <x:color indexed="1" rgb="D9E2EC"/>
      </x:bottom>
    </x:border>
    <x:border>
      <x:left>
        <x:color indexed="1"/>
      </x:left>
      <x:top>
        <x:color indexed="1" rgb="D9E2EC"/>
      </x:top>
    </x:border>
    <x:border>
      <x:left>
        <x:color indexed="1"/>
      </x:left>
      <x:bottom>
        <x:color indexed="1" rgb="D9E2EC"/>
      </x:bottom>
    </x:border>
    <x:border>
      <x:left>
        <x:color indexed="1" rgb="D9E2EC"/>
      </x:left>
      <x:top>
        <x:color indexed="1" rgb="D9E2EC"/>
      </x:top>
    </x:border>
    <x:border>
      <x:left>
        <x:color indexed="1" rgb="D9E2EC"/>
      </x:left>
    </x:border>
    <x:border>
      <x:left>
        <x:color indexed="1" rgb="D9E2EC"/>
      </x:left>
      <x:bottom>
        <x:color indexed="1" rgb="D9E2EC"/>
      </x:bottom>
    </x:border>
    <x:border>
      <x:left>
        <x:color indexed="1" rgb="D9E2EC"/>
      </x:left>
      <x:top>
        <x:color indexed="1" rgb="D9E2EC"/>
      </x:top>
    </x:border>
    <x:border>
      <x:left>
        <x:color indexed="1" rgb="D9E2EC"/>
      </x:left>
    </x:border>
    <x:border>
      <x:left>
        <x:color indexed="1" rgb="D9E2EC"/>
      </x:left>
      <x:bottom>
        <x:color indexed="1" rgb="D9E2EC"/>
      </x:bottom>
    </x:border>
    <x:border>
      <x:right/>
      <x:top>
        <x:color indexed="1" rgb="D9E2EC"/>
      </x:top>
    </x:border>
    <x:border>
      <x:right/>
      <x:bottom>
        <x:color indexed="1" rgb="D9E2EC"/>
      </x:bottom>
    </x:border>
    <x:border>
      <x:right/>
      <x:top>
        <x:color indexed="1" rgb="D9E2EC"/>
      </x:top>
    </x:border>
    <x:border>
      <x:right/>
      <x:bottom>
        <x:color indexed="1" rgb="D9E2EC"/>
      </x:bottom>
    </x:border>
    <x:border>
      <x:right>
        <x:color indexed="1"/>
      </x:right>
      <x:top>
        <x:color indexed="1" rgb="D9E2EC"/>
      </x:top>
    </x:border>
    <x:border>
      <x:right>
        <x:color indexed="1"/>
      </x:right>
      <x:bottom>
        <x:color indexed="1" rgb="D9E2EC"/>
      </x:bottom>
    </x:border>
    <x:border>
      <x:right>
        <x:color indexed="1"/>
      </x:right>
      <x:top>
        <x:color indexed="1" rgb="D9E2EC"/>
      </x:top>
    </x:border>
    <x:border>
      <x:right>
        <x:color indexed="1"/>
      </x:right>
      <x:bottom>
        <x:color indexed="1" rgb="D9E2EC"/>
      </x:bottom>
    </x:border>
    <x:border>
      <x:right>
        <x:color indexed="1" rgb="D9E2EC"/>
      </x:right>
      <x:top>
        <x:color indexed="1" rgb="D9E2EC"/>
      </x:top>
    </x:border>
    <x:border>
      <x:right>
        <x:color indexed="1" rgb="D9E2EC"/>
      </x:right>
    </x:border>
    <x:border>
      <x:right>
        <x:color indexed="1" rgb="D9E2EC"/>
      </x:right>
      <x:bottom>
        <x:color indexed="1" rgb="D9E2EC"/>
      </x:bottom>
    </x:border>
    <x:border>
      <x:right>
        <x:color indexed="1" rgb="D9E2EC"/>
      </x:right>
      <x:top>
        <x:color indexed="1" rgb="D9E2EC"/>
      </x:top>
    </x:border>
    <x:border>
      <x:right>
        <x:color indexed="1" rgb="D9E2EC"/>
      </x:right>
    </x:border>
    <x:border>
      <x:right>
        <x:color indexed="1" rgb="D9E2EC"/>
      </x:right>
      <x:bottom>
        <x:color indexed="1" rgb="D9E2EC"/>
      </x:bottom>
    </x:border>
    <x:border>
      <x:left>
        <x:color indexed="1" rgb="D9E2EC"/>
      </x:left>
      <x:top>
        <x:color indexed="1" rgb="D9E2EC"/>
      </x:top>
      <x:bottom/>
    </x:border>
    <x:border>
      <x:right>
        <x:color indexed="1" rgb="D9E2EC"/>
      </x:right>
      <x:top>
        <x:color indexed="1" rgb="D9E2EC"/>
      </x:top>
      <x:bottom/>
    </x:border>
    <x:border>
      <x:left>
        <x:color indexed="1" rgb="D9E2EC"/>
      </x:left>
      <x:top/>
      <x:bottom/>
    </x:border>
    <x:border>
      <x:right>
        <x:color indexed="1" rgb="D9E2EC"/>
      </x:right>
      <x:top/>
      <x:bottom/>
    </x:border>
    <x:border>
      <x:left>
        <x:color indexed="1" rgb="D9E2EC"/>
      </x:left>
      <x:top/>
      <x:bottom>
        <x:color indexed="1" rgb="D9E2EC"/>
      </x:bottom>
    </x:border>
    <x:border>
      <x:right>
        <x:color indexed="1" rgb="D9E2EC"/>
      </x:right>
      <x:top/>
      <x:bottom>
        <x:color indexed="1" rgb="D9E2EC"/>
      </x:bottom>
    </x:border>
    <x:border>
      <x:left>
        <x:color indexed="1" rgb="D9E2EC"/>
      </x:left>
      <x:top>
        <x:color indexed="1" rgb="D9E2EC"/>
      </x:top>
      <x:bottom/>
    </x:border>
    <x:border>
      <x:right>
        <x:color indexed="1" rgb="D9E2EC"/>
      </x:right>
      <x:top>
        <x:color indexed="1" rgb="D9E2EC"/>
      </x:top>
      <x:bottom/>
    </x:border>
    <x:border>
      <x:left>
        <x:color indexed="1" rgb="D9E2EC"/>
      </x:left>
      <x:top/>
      <x:bottom/>
    </x:border>
    <x:border>
      <x:right>
        <x:color indexed="1" rgb="D9E2EC"/>
      </x:right>
      <x:top/>
      <x:bottom/>
    </x:border>
    <x:border>
      <x:left>
        <x:color indexed="1" rgb="D9E2EC"/>
      </x:left>
      <x:top/>
      <x:bottom>
        <x:color indexed="1" rgb="D9E2EC"/>
      </x:bottom>
    </x:border>
    <x:border>
      <x:right>
        <x:color indexed="1" rgb="D9E2EC"/>
      </x:right>
      <x:top/>
      <x:bottom>
        <x:color indexed="1" rgb="D9E2EC"/>
      </x:bottom>
    </x:border>
    <x:border>
      <x:left>
        <x:color indexed="1" rgb="D9E2EC"/>
      </x:left>
      <x:top>
        <x:color indexed="1" rgb="D9E2EC"/>
      </x:top>
      <x:bottom>
        <x:color indexed="1"/>
      </x:bottom>
    </x:border>
    <x:border>
      <x:right>
        <x:color indexed="1" rgb="D9E2EC"/>
      </x:right>
      <x:top>
        <x:color indexed="1" rgb="D9E2EC"/>
      </x:top>
      <x:bottom>
        <x:color indexed="1"/>
      </x:bottom>
    </x:border>
    <x:border>
      <x:left>
        <x:color indexed="1" rgb="D9E2EC"/>
      </x:left>
      <x:top>
        <x:color indexed="1"/>
      </x:top>
      <x:bottom>
        <x:color indexed="1"/>
      </x:bottom>
    </x:border>
    <x:border>
      <x:right>
        <x:color indexed="1" rgb="D9E2EC"/>
      </x:right>
      <x:top>
        <x:color indexed="1"/>
      </x:top>
      <x:bottom>
        <x:color indexed="1"/>
      </x:bottom>
    </x:border>
    <x:border>
      <x:left>
        <x:color indexed="1" rgb="D9E2EC"/>
      </x:left>
      <x:top>
        <x:color indexed="1"/>
      </x:top>
      <x:bottom>
        <x:color indexed="1" rgb="D9E2EC"/>
      </x:bottom>
    </x:border>
    <x:border>
      <x:right>
        <x:color indexed="1" rgb="D9E2EC"/>
      </x:right>
      <x:top>
        <x:color indexed="1"/>
      </x:top>
      <x:bottom>
        <x:color indexed="1" rgb="D9E2EC"/>
      </x:bottom>
    </x:border>
    <x:border>
      <x:left>
        <x:color indexed="1" rgb="D9E2EC"/>
      </x:left>
      <x:top>
        <x:color indexed="1" rgb="D9E2EC"/>
      </x:top>
      <x:bottom>
        <x:color indexed="1"/>
      </x:bottom>
    </x:border>
    <x:border>
      <x:right>
        <x:color indexed="1" rgb="D9E2EC"/>
      </x:right>
      <x:top>
        <x:color indexed="1" rgb="D9E2EC"/>
      </x:top>
      <x:bottom>
        <x:color indexed="1"/>
      </x:bottom>
    </x:border>
    <x:border>
      <x:left>
        <x:color indexed="1" rgb="D9E2EC"/>
      </x:left>
      <x:top>
        <x:color indexed="1"/>
      </x:top>
      <x:bottom>
        <x:color indexed="1"/>
      </x:bottom>
    </x:border>
    <x:border>
      <x:right>
        <x:color indexed="1" rgb="D9E2EC"/>
      </x:right>
      <x:top>
        <x:color indexed="1"/>
      </x:top>
      <x:bottom>
        <x:color indexed="1"/>
      </x:bottom>
    </x:border>
    <x:border>
      <x:left>
        <x:color indexed="1" rgb="D9E2EC"/>
      </x:left>
      <x:top>
        <x:color indexed="1"/>
      </x:top>
      <x:bottom>
        <x:color indexed="1" rgb="D9E2EC"/>
      </x:bottom>
    </x:border>
    <x:border>
      <x:right>
        <x:color indexed="1" rgb="D9E2EC"/>
      </x:right>
      <x:top>
        <x:color indexed="1"/>
      </x:top>
      <x:bottom>
        <x:color indexed="1" rgb="D9E2EC"/>
      </x:bottom>
    </x:border>
    <x:border>
      <x:left>
        <x:color indexed="1" rgb="C4D0DD"/>
      </x:left>
      <x:top>
        <x:color indexed="1" rgb="C4D0DD"/>
      </x:top>
      <x:bottom/>
    </x:border>
    <x:border>
      <x:right>
        <x:color indexed="1" rgb="C4D0DD"/>
      </x:right>
      <x:top>
        <x:color indexed="1" rgb="C4D0DD"/>
      </x:top>
      <x:bottom/>
    </x:border>
    <x:border>
      <x:left>
        <x:color indexed="1" rgb="C4D0DD"/>
      </x:left>
      <x:top/>
      <x:bottom/>
    </x:border>
    <x:border>
      <x:right>
        <x:color indexed="1" rgb="C4D0DD"/>
      </x:right>
      <x:top/>
      <x:bottom/>
    </x:border>
    <x:border>
      <x:left>
        <x:color indexed="1" rgb="C4D0DD"/>
      </x:left>
      <x:top/>
      <x:bottom>
        <x:color indexed="1" rgb="C4D0DD"/>
      </x:bottom>
    </x:border>
    <x:border>
      <x:right>
        <x:color indexed="1" rgb="C4D0DD"/>
      </x:right>
      <x:top/>
      <x:bottom>
        <x:color indexed="1" rgb="C4D0DD"/>
      </x:bottom>
    </x:border>
    <x:border>
      <x:left>
        <x:color indexed="1" rgb="C4D0DD"/>
      </x:left>
      <x:top>
        <x:color indexed="1" rgb="C4D0DD"/>
      </x:top>
      <x:bottom/>
    </x:border>
    <x:border>
      <x:right>
        <x:color indexed="1" rgb="C4D0DD"/>
      </x:right>
      <x:top>
        <x:color indexed="1" rgb="C4D0DD"/>
      </x:top>
      <x:bottom/>
    </x:border>
    <x:border>
      <x:left>
        <x:color indexed="1" rgb="C4D0DD"/>
      </x:left>
      <x:top/>
      <x:bottom/>
    </x:border>
    <x:border>
      <x:right>
        <x:color indexed="1" rgb="C4D0DD"/>
      </x:right>
      <x:top/>
      <x:bottom/>
    </x:border>
    <x:border>
      <x:left>
        <x:color indexed="1" rgb="C4D0DD"/>
      </x:left>
      <x:top/>
      <x:bottom>
        <x:color indexed="1" rgb="C4D0DD"/>
      </x:bottom>
    </x:border>
    <x:border>
      <x:right>
        <x:color indexed="1" rgb="C4D0DD"/>
      </x:right>
      <x:top/>
      <x:bottom>
        <x:color indexed="1" rgb="C4D0DD"/>
      </x:bottom>
    </x:border>
    <x:border>
      <x:left>
        <x:color indexed="1" rgb="C4D0DD"/>
      </x:left>
      <x:top>
        <x:color indexed="1" rgb="C4D0DD"/>
      </x:top>
      <x:bottom>
        <x:color indexed="1"/>
      </x:bottom>
    </x:border>
    <x:border>
      <x:right>
        <x:color indexed="1" rgb="C4D0DD"/>
      </x:right>
      <x:top>
        <x:color indexed="1" rgb="C4D0DD"/>
      </x:top>
      <x:bottom>
        <x:color indexed="1"/>
      </x:bottom>
    </x:border>
    <x:border>
      <x:left>
        <x:color indexed="1" rgb="C4D0DD"/>
      </x:left>
      <x:top>
        <x:color indexed="1"/>
      </x:top>
      <x:bottom>
        <x:color indexed="1"/>
      </x:bottom>
    </x:border>
    <x:border>
      <x:right>
        <x:color indexed="1" rgb="C4D0DD"/>
      </x:right>
      <x:top>
        <x:color indexed="1"/>
      </x:top>
      <x:bottom>
        <x:color indexed="1"/>
      </x:bottom>
    </x:border>
    <x:border>
      <x:left>
        <x:color indexed="1" rgb="C4D0DD"/>
      </x:left>
      <x:top>
        <x:color indexed="1"/>
      </x:top>
      <x:bottom>
        <x:color indexed="1" rgb="C4D0DD"/>
      </x:bottom>
    </x:border>
    <x:border>
      <x:right>
        <x:color indexed="1" rgb="C4D0DD"/>
      </x:right>
      <x:top>
        <x:color indexed="1"/>
      </x:top>
      <x:bottom>
        <x:color indexed="1" rgb="C4D0DD"/>
      </x:bottom>
    </x:border>
    <x:border>
      <x:left>
        <x:color indexed="1" rgb="C4D0DD"/>
      </x:left>
      <x:top>
        <x:color indexed="1" rgb="C4D0DD"/>
      </x:top>
      <x:bottom>
        <x:color indexed="1"/>
      </x:bottom>
    </x:border>
    <x:border>
      <x:right>
        <x:color indexed="1" rgb="C4D0DD"/>
      </x:right>
      <x:top>
        <x:color indexed="1" rgb="C4D0DD"/>
      </x:top>
      <x:bottom>
        <x:color indexed="1"/>
      </x:bottom>
    </x:border>
    <x:border>
      <x:left>
        <x:color indexed="1" rgb="C4D0DD"/>
      </x:left>
      <x:top>
        <x:color indexed="1"/>
      </x:top>
      <x:bottom>
        <x:color indexed="1"/>
      </x:bottom>
    </x:border>
    <x:border>
      <x:right>
        <x:color indexed="1" rgb="C4D0DD"/>
      </x:right>
      <x:top>
        <x:color indexed="1"/>
      </x:top>
      <x:bottom>
        <x:color indexed="1"/>
      </x:bottom>
    </x:border>
    <x:border>
      <x:left>
        <x:color indexed="1" rgb="C4D0DD"/>
      </x:left>
      <x:top>
        <x:color indexed="1"/>
      </x:top>
      <x:bottom>
        <x:color indexed="1" rgb="C4D0DD"/>
      </x:bottom>
    </x:border>
    <x:border>
      <x:right>
        <x:color indexed="1" rgb="C4D0DD"/>
      </x:right>
      <x:top>
        <x:color indexed="1"/>
      </x:top>
      <x:bottom>
        <x:color indexed="1" rgb="C4D0DD"/>
      </x:bottom>
    </x:border>
    <x:border>
      <x:left>
        <x:color indexed="1" rgb="C4D0DD"/>
      </x:left>
      <x:right/>
      <x:top>
        <x:color indexed="1" rgb="C4D0DD"/>
      </x:top>
      <x:bottom>
        <x:color indexed="1" rgb="C4D0DD"/>
      </x:bottom>
    </x:border>
    <x:border>
      <x:left/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/>
      <x:top>
        <x:color indexed="1" rgb="C4D0DD"/>
      </x:top>
      <x:bottom>
        <x:color indexed="1" rgb="C4D0DD"/>
      </x:bottom>
    </x:border>
    <x:border>
      <x:left/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>
        <x:color indexed="1"/>
      </x:right>
      <x:top>
        <x:color indexed="1" rgb="C4D0DD"/>
      </x:top>
      <x:bottom>
        <x:color indexed="1" rgb="C4D0DD"/>
      </x:bottom>
    </x:border>
    <x:border>
      <x:left>
        <x:color indexed="1"/>
      </x:left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>
        <x:color indexed="1"/>
      </x:right>
      <x:top>
        <x:color indexed="1" rgb="C4D0DD"/>
      </x:top>
      <x:bottom>
        <x:color indexed="1" rgb="C4D0DD"/>
      </x:bottom>
    </x:border>
    <x:border>
      <x:left>
        <x:color indexed="1"/>
      </x:left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>
        <x:color indexed="1" rgb="C4D0DD"/>
      </x:right>
      <x:top>
        <x:color indexed="1" rgb="C4D0DD"/>
      </x:top>
      <x:bottom>
        <x:color indexed="1" rgb="C4D0DD"/>
      </x:bottom>
    </x:border>
    <x:border>
      <x:top/>
      <x:bottom/>
    </x:border>
    <x:border>
      <x:top/>
      <x:bottom>
        <x:color indexed="1" rgb="C4D0DD"/>
      </x:bottom>
    </x:border>
    <x:border>
      <x:top/>
      <x:bottom/>
    </x:border>
    <x:border>
      <x:top/>
      <x:bottom>
        <x:color indexed="1" rgb="C4D0DD"/>
      </x:bottom>
    </x:border>
    <x:border>
      <x:top>
        <x:color indexed="1"/>
      </x:top>
      <x:bottom>
        <x:color indexed="1"/>
      </x:bottom>
    </x:border>
    <x:border>
      <x:top>
        <x:color indexed="1"/>
      </x:top>
      <x:bottom>
        <x:color indexed="1" rgb="C4D0DD"/>
      </x:bottom>
    </x:border>
    <x:border>
      <x:top>
        <x:color indexed="1"/>
      </x:top>
      <x:bottom>
        <x:color indexed="1"/>
      </x:bottom>
    </x:border>
    <x:border>
      <x:top>
        <x:color indexed="1"/>
      </x:top>
      <x:bottom>
        <x:color indexed="1" rgb="C4D0DD"/>
      </x:bottom>
    </x:border>
    <x:border>
      <x:left/>
      <x:right/>
      <x:top>
        <x:color indexed="1" rgb="C4D0DD"/>
      </x:top>
      <x:bottom>
        <x:color indexed="1" rgb="C4D0DD"/>
      </x:bottom>
    </x:border>
    <x:border>
      <x:left/>
      <x:right/>
      <x:top>
        <x:color indexed="1" rgb="C4D0DD"/>
      </x:top>
      <x:bottom>
        <x:color indexed="1" rgb="C4D0DD"/>
      </x:bottom>
    </x:border>
    <x:border>
      <x:left>
        <x:color indexed="1"/>
      </x:left>
      <x:right>
        <x:color indexed="1"/>
      </x:right>
      <x:top>
        <x:color indexed="1" rgb="C4D0DD"/>
      </x:top>
      <x:bottom>
        <x:color indexed="1" rgb="C4D0DD"/>
      </x:bottom>
    </x:border>
    <x:border>
      <x:left>
        <x:color indexed="1"/>
      </x:left>
      <x:right>
        <x:color indexed="1"/>
      </x:right>
      <x:top>
        <x:color indexed="1" rgb="C4D0DD"/>
      </x:top>
      <x:bottom>
        <x:color indexed="1" rgb="C4D0DD"/>
      </x:bottom>
    </x:border>
  </x:borders>
  <x:cellStyleXfs count="1">
    <x:xf numFmtId="0" fontId="0" fillId="0" borderId="0"/>
  </x:cellStyleXfs>
  <x:cellXfs count="717">
    <x:xf numFmtId="0" fontId="0" fillId="0" borderId="0" xfId="0"/>
    <x:xf numFmtId="0" fontId="0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1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6" fillId="4" borderId="0" xfId="0" applyNumberFormat="1" applyFont="1" applyFill="1" applyBorder="1"/>
    <x:xf numFmtId="0" fontId="6" fillId="4" borderId="1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1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vertical="center" wrapText="1"/>
    </x:xf>
    <x:xf numFmtId="0" fontId="5" fillId="3" borderId="4" xfId="0" applyNumberFormat="1" applyFont="1" applyFill="1" applyBorder="1" applyAlignment="1">
      <x:alignment vertical="center" wrapText="1"/>
    </x:xf>
    <x:xf numFmtId="0" fontId="5" fillId="3" borderId="5" xfId="0" applyNumberFormat="1" applyFont="1" applyFill="1" applyBorder="1" applyAlignment="1">
      <x:alignment vertical="center" wrapText="1"/>
    </x:xf>
    <x:xf numFmtId="0" fontId="5" fillId="3" borderId="6" xfId="0" applyNumberFormat="1" applyFont="1" applyFill="1" applyBorder="1" applyAlignment="1">
      <x:alignment vertical="center" wrapText="1"/>
    </x:xf>
    <x:xf numFmtId="0" fontId="5" fillId="3" borderId="7" xfId="0" applyNumberFormat="1" applyFont="1" applyFill="1" applyBorder="1" applyAlignment="1">
      <x:alignment vertical="center" wrapText="1"/>
    </x:xf>
    <x:xf numFmtId="0" fontId="6" fillId="4" borderId="8" xfId="0" applyNumberFormat="1" applyFont="1" applyFill="1" applyBorder="1" applyAlignment="1">
      <x:alignment vertical="center" wrapText="1"/>
    </x:xf>
    <x:xf numFmtId="0" fontId="6" fillId="4" borderId="9" xfId="0" applyNumberFormat="1" applyFont="1" applyFill="1" applyBorder="1" applyAlignment="1">
      <x:alignment vertical="center" wrapText="1"/>
    </x:xf>
    <x:xf numFmtId="0" fontId="6" fillId="4" borderId="10" xfId="0" applyNumberFormat="1" applyFont="1" applyFill="1" applyBorder="1" applyAlignment="1">
      <x:alignment vertical="center" wrapText="1"/>
    </x:xf>
    <x:xf numFmtId="0" fontId="6" fillId="4" borderId="11" xfId="0" applyNumberFormat="1" applyFont="1" applyFill="1" applyBorder="1" applyAlignment="1">
      <x:alignment vertical="center" wrapText="1"/>
    </x:xf>
    <x:xf numFmtId="0" fontId="6" fillId="4" borderId="12" xfId="0" applyNumberFormat="1" applyFont="1" applyFill="1" applyBorder="1" applyAlignment="1">
      <x:alignment vertical="center" wrapText="1"/>
    </x:xf>
    <x:xf numFmtId="0" fontId="6" fillId="4" borderId="13" xfId="0" applyNumberFormat="1" applyFont="1" applyFill="1" applyBorder="1" applyAlignment="1">
      <x:alignment vertical="center" wrapText="1"/>
    </x:xf>
    <x:xf numFmtId="0" fontId="5" fillId="3" borderId="14" xfId="0" applyNumberFormat="1" applyFont="1" applyFill="1" applyBorder="1" applyAlignment="1">
      <x:alignment vertical="center" wrapText="1"/>
    </x:xf>
    <x:xf numFmtId="0" fontId="5" fillId="3" borderId="15" xfId="0" applyNumberFormat="1" applyFont="1" applyFill="1" applyBorder="1" applyAlignment="1">
      <x:alignment vertical="center" wrapText="1"/>
    </x:xf>
    <x:xf numFmtId="0" fontId="6" fillId="4" borderId="15" xfId="0" applyNumberFormat="1" applyFont="1" applyFill="1" applyBorder="1" applyAlignment="1">
      <x:alignment vertical="center" wrapText="1"/>
    </x:xf>
    <x:xf numFmtId="0" fontId="6" fillId="4" borderId="16" xfId="0" applyNumberFormat="1" applyFont="1" applyFill="1" applyBorder="1" applyAlignment="1">
      <x:alignment vertical="center" wrapText="1"/>
    </x:xf>
    <x:xf numFmtId="0" fontId="5" fillId="3" borderId="17" xfId="0" applyNumberFormat="1" applyFont="1" applyFill="1" applyBorder="1" applyAlignment="1">
      <x:alignment vertical="center" wrapText="1"/>
    </x:xf>
    <x:xf numFmtId="0" fontId="5" fillId="3" borderId="18" xfId="0" applyNumberFormat="1" applyFont="1" applyFill="1" applyBorder="1" applyAlignment="1">
      <x:alignment vertical="center" wrapText="1"/>
    </x:xf>
    <x:xf numFmtId="0" fontId="6" fillId="4" borderId="18" xfId="0" applyNumberFormat="1" applyFont="1" applyFill="1" applyBorder="1" applyAlignment="1">
      <x:alignment vertical="center" wrapText="1"/>
    </x:xf>
    <x:xf numFmtId="0" fontId="6" fillId="4" borderId="19" xfId="0" applyNumberFormat="1" applyFont="1" applyFill="1" applyBorder="1" applyAlignment="1">
      <x:alignment vertical="center" wrapText="1"/>
    </x:xf>
    <x:xf numFmtId="0" fontId="5" fillId="3" borderId="20" xfId="0" applyNumberFormat="1" applyFont="1" applyFill="1" applyBorder="1" applyAlignment="1">
      <x:alignment vertical="center" wrapText="1"/>
    </x:xf>
    <x:xf numFmtId="0" fontId="5" fillId="3" borderId="21" xfId="0" applyNumberFormat="1" applyFont="1" applyFill="1" applyBorder="1" applyAlignment="1">
      <x:alignment vertical="center" wrapText="1"/>
    </x:xf>
    <x:xf numFmtId="0" fontId="6" fillId="4" borderId="21" xfId="0" applyNumberFormat="1" applyFont="1" applyFill="1" applyBorder="1" applyAlignment="1">
      <x:alignment vertical="center" wrapText="1"/>
    </x:xf>
    <x:xf numFmtId="0" fontId="6" fillId="4" borderId="22" xfId="0" applyNumberFormat="1" applyFont="1" applyFill="1" applyBorder="1" applyAlignment="1">
      <x:alignment vertical="center" wrapText="1"/>
    </x:xf>
    <x:xf numFmtId="0" fontId="5" fillId="3" borderId="23" xfId="0" applyNumberFormat="1" applyFont="1" applyFill="1" applyBorder="1" applyAlignment="1">
      <x:alignment vertical="center" wrapText="1"/>
    </x:xf>
    <x:xf numFmtId="0" fontId="5" fillId="3" borderId="24" xfId="0" applyNumberFormat="1" applyFont="1" applyFill="1" applyBorder="1" applyAlignment="1">
      <x:alignment vertical="center" wrapText="1"/>
    </x:xf>
    <x:xf numFmtId="0" fontId="6" fillId="4" borderId="24" xfId="0" applyNumberFormat="1" applyFont="1" applyFill="1" applyBorder="1" applyAlignment="1">
      <x:alignment vertical="center" wrapText="1"/>
    </x:xf>
    <x:xf numFmtId="0" fontId="6" fillId="4" borderId="25" xfId="0" applyNumberFormat="1" applyFont="1" applyFill="1" applyBorder="1" applyAlignment="1">
      <x:alignment vertical="center" wrapText="1"/>
    </x:xf>
    <x:xf numFmtId="0" fontId="5" fillId="3" borderId="26" xfId="0" applyNumberFormat="1" applyFont="1" applyFill="1" applyBorder="1" applyAlignment="1">
      <x:alignment vertical="center" wrapText="1"/>
    </x:xf>
    <x:xf numFmtId="0" fontId="5" fillId="3" borderId="27" xfId="0" applyNumberFormat="1" applyFont="1" applyFill="1" applyBorder="1" applyAlignment="1">
      <x:alignment vertical="center" wrapText="1"/>
    </x:xf>
    <x:xf numFmtId="0" fontId="6" fillId="4" borderId="27" xfId="0" applyNumberFormat="1" applyFont="1" applyFill="1" applyBorder="1" applyAlignment="1">
      <x:alignment vertical="center" wrapText="1"/>
    </x:xf>
    <x:xf numFmtId="0" fontId="6" fillId="4" borderId="28" xfId="0" applyNumberFormat="1" applyFont="1" applyFill="1" applyBorder="1" applyAlignment="1">
      <x:alignment vertical="center" wrapText="1"/>
    </x:xf>
    <x:xf numFmtId="0" fontId="5" fillId="3" borderId="29" xfId="0" applyNumberFormat="1" applyFont="1" applyFill="1" applyBorder="1" applyAlignment="1">
      <x:alignment vertical="center" wrapText="1"/>
    </x:xf>
    <x:xf numFmtId="0" fontId="5" fillId="3" borderId="30" xfId="0" applyNumberFormat="1" applyFont="1" applyFill="1" applyBorder="1" applyAlignment="1">
      <x:alignment vertical="center" wrapText="1"/>
    </x:xf>
    <x:xf numFmtId="0" fontId="6" fillId="4" borderId="30" xfId="0" applyNumberFormat="1" applyFont="1" applyFill="1" applyBorder="1" applyAlignment="1">
      <x:alignment vertical="center" wrapText="1"/>
    </x:xf>
    <x:xf numFmtId="0" fontId="6" fillId="4" borderId="31" xfId="0" applyNumberFormat="1" applyFont="1" applyFill="1" applyBorder="1" applyAlignment="1">
      <x:alignment vertical="center" wrapText="1"/>
    </x:xf>
    <x:xf numFmtId="0" fontId="5" fillId="3" borderId="32" xfId="0" applyNumberFormat="1" applyFont="1" applyFill="1" applyBorder="1" applyAlignment="1">
      <x:alignment vertical="center" wrapText="1"/>
    </x:xf>
    <x:xf numFmtId="0" fontId="5" fillId="3" borderId="33" xfId="0" applyNumberFormat="1" applyFont="1" applyFill="1" applyBorder="1" applyAlignment="1">
      <x:alignment vertical="center" wrapText="1"/>
    </x:xf>
    <x:xf numFmtId="0" fontId="6" fillId="4" borderId="33" xfId="0" applyNumberFormat="1" applyFont="1" applyFill="1" applyBorder="1" applyAlignment="1">
      <x:alignment vertical="center" wrapText="1"/>
    </x:xf>
    <x:xf numFmtId="0" fontId="6" fillId="4" borderId="34" xfId="0" applyNumberFormat="1" applyFont="1" applyFill="1" applyBorder="1" applyAlignment="1">
      <x:alignment vertical="center" wrapText="1"/>
    </x:xf>
    <x:xf numFmtId="0" fontId="5" fillId="3" borderId="35" xfId="0" applyNumberFormat="1" applyFont="1" applyFill="1" applyBorder="1" applyAlignment="1">
      <x:alignment vertical="center" wrapText="1"/>
    </x:xf>
    <x:xf numFmtId="0" fontId="5" fillId="3" borderId="36" xfId="0" applyNumberFormat="1" applyFont="1" applyFill="1" applyBorder="1" applyAlignment="1">
      <x:alignment vertical="center" wrapText="1"/>
    </x:xf>
    <x:xf numFmtId="0" fontId="6" fillId="4" borderId="36" xfId="0" applyNumberFormat="1" applyFont="1" applyFill="1" applyBorder="1" applyAlignment="1">
      <x:alignment vertical="center" wrapText="1"/>
    </x:xf>
    <x:xf numFmtId="0" fontId="6" fillId="4" borderId="37" xfId="0" applyNumberFormat="1" applyFont="1" applyFill="1" applyBorder="1" applyAlignment="1">
      <x:alignment vertical="center" wrapText="1"/>
    </x:xf>
    <x:xf numFmtId="0" fontId="5" fillId="3" borderId="38" xfId="0" applyNumberFormat="1" applyFont="1" applyFill="1" applyBorder="1" applyAlignment="1">
      <x:alignment vertical="center" wrapText="1"/>
    </x:xf>
    <x:xf numFmtId="0" fontId="5" fillId="3" borderId="39" xfId="0" applyNumberFormat="1" applyFont="1" applyFill="1" applyBorder="1" applyAlignment="1">
      <x:alignment vertical="center" wrapText="1"/>
    </x:xf>
    <x:xf numFmtId="0" fontId="6" fillId="4" borderId="39" xfId="0" applyNumberFormat="1" applyFont="1" applyFill="1" applyBorder="1" applyAlignment="1">
      <x:alignment vertical="center" wrapText="1"/>
    </x:xf>
    <x:xf numFmtId="0" fontId="6" fillId="4" borderId="40" xfId="0" applyNumberFormat="1" applyFont="1" applyFill="1" applyBorder="1" applyAlignment="1">
      <x:alignment vertical="center" wrapText="1"/>
    </x:xf>
    <x:xf numFmtId="0" fontId="5" fillId="3" borderId="41" xfId="0" applyNumberFormat="1" applyFont="1" applyFill="1" applyBorder="1" applyAlignment="1">
      <x:alignment vertical="center" wrapText="1"/>
    </x:xf>
    <x:xf numFmtId="0" fontId="5" fillId="3" borderId="42" xfId="0" applyNumberFormat="1" applyFont="1" applyFill="1" applyBorder="1" applyAlignment="1">
      <x:alignment vertical="center" wrapText="1"/>
    </x:xf>
    <x:xf numFmtId="0" fontId="6" fillId="4" borderId="42" xfId="0" applyNumberFormat="1" applyFont="1" applyFill="1" applyBorder="1" applyAlignment="1">
      <x:alignment vertical="center" wrapText="1"/>
    </x:xf>
    <x:xf numFmtId="0" fontId="6" fillId="4" borderId="43" xfId="0" applyNumberFormat="1" applyFont="1" applyFill="1" applyBorder="1" applyAlignment="1">
      <x:alignment vertical="center" wrapText="1"/>
    </x:xf>
    <x:xf numFmtId="0" fontId="5" fillId="3" borderId="44" xfId="0" applyNumberFormat="1" applyFont="1" applyFill="1" applyBorder="1" applyAlignment="1">
      <x:alignment vertical="center" wrapText="1"/>
    </x:xf>
    <x:xf numFmtId="0" fontId="5" fillId="3" borderId="45" xfId="0" applyNumberFormat="1" applyFont="1" applyFill="1" applyBorder="1" applyAlignment="1">
      <x:alignment vertical="center" wrapText="1"/>
    </x:xf>
    <x:xf numFmtId="0" fontId="6" fillId="4" borderId="45" xfId="0" applyNumberFormat="1" applyFont="1" applyFill="1" applyBorder="1" applyAlignment="1">
      <x:alignment vertical="center" wrapText="1"/>
    </x:xf>
    <x:xf numFmtId="0" fontId="6" fillId="4" borderId="46" xfId="0" applyNumberFormat="1" applyFont="1" applyFill="1" applyBorder="1" applyAlignment="1">
      <x:alignment vertical="center" wrapText="1"/>
    </x:xf>
    <x:xf numFmtId="0" fontId="5" fillId="3" borderId="47" xfId="0" applyNumberFormat="1" applyFont="1" applyFill="1" applyBorder="1" applyAlignment="1">
      <x:alignment vertical="center" wrapText="1"/>
    </x:xf>
    <x:xf numFmtId="0" fontId="5" fillId="3" borderId="48" xfId="0" applyNumberFormat="1" applyFont="1" applyFill="1" applyBorder="1" applyAlignment="1">
      <x:alignment vertical="center" wrapText="1"/>
    </x:xf>
    <x:xf numFmtId="0" fontId="6" fillId="4" borderId="48" xfId="0" applyNumberFormat="1" applyFont="1" applyFill="1" applyBorder="1" applyAlignment="1">
      <x:alignment vertical="center" wrapText="1"/>
    </x:xf>
    <x:xf numFmtId="0" fontId="6" fillId="4" borderId="49" xfId="0" applyNumberFormat="1" applyFont="1" applyFill="1" applyBorder="1" applyAlignment="1">
      <x:alignment vertical="center" wrapText="1"/>
    </x:xf>
    <x:xf numFmtId="0" fontId="7" fillId="4" borderId="0" xfId="0" applyNumberFormat="1" applyFont="1" applyFill="1" applyBorder="1"/>
    <x:xf numFmtId="0" fontId="7" fillId="4" borderId="1" xfId="0" applyNumberFormat="1" applyFont="1" applyFill="1" applyBorder="1"/>
    <x:xf numFmtId="0" fontId="8" fillId="4" borderId="0" xfId="0" applyNumberFormat="1" applyFont="1" applyFill="1" applyBorder="1"/>
    <x:xf numFmtId="0" fontId="8" fillId="4" borderId="1" xfId="0" applyNumberFormat="1" applyFont="1" applyFill="1" applyBorder="1"/>
    <x:xf numFmtId="0" fontId="8" fillId="4" borderId="2" xfId="0" applyNumberFormat="1" applyFont="1" applyFill="1" applyBorder="1"/>
    <x:xf numFmtId="0" fontId="8" fillId="4" borderId="3" xfId="0" applyNumberFormat="1" applyFont="1" applyFill="1" applyBorder="1"/>
    <x:xf numFmtId="0" fontId="8" fillId="4" borderId="4" xfId="0" applyNumberFormat="1" applyFont="1" applyFill="1" applyBorder="1"/>
    <x:xf numFmtId="0" fontId="8" fillId="4" borderId="5" xfId="0" applyNumberFormat="1" applyFont="1" applyFill="1" applyBorder="1"/>
    <x:xf numFmtId="0" fontId="8" fillId="4" borderId="6" xfId="0" applyNumberFormat="1" applyFont="1" applyFill="1" applyBorder="1"/>
    <x:xf numFmtId="0" fontId="8" fillId="4" borderId="7" xfId="0" applyNumberFormat="1" applyFont="1" applyFill="1" applyBorder="1"/>
    <x:xf numFmtId="0" fontId="8" fillId="4" borderId="50" xfId="0" applyNumberFormat="1" applyFont="1" applyFill="1" applyBorder="1"/>
    <x:xf numFmtId="0" fontId="8" fillId="4" borderId="51" xfId="0" applyNumberFormat="1" applyFont="1" applyFill="1" applyBorder="1"/>
    <x:xf numFmtId="0" fontId="8" fillId="4" borderId="52" xfId="0" applyNumberFormat="1" applyFont="1" applyFill="1" applyBorder="1"/>
    <x:xf numFmtId="0" fontId="8" fillId="4" borderId="53" xfId="0" applyNumberFormat="1" applyFont="1" applyFill="1" applyBorder="1"/>
    <x:xf numFmtId="0" fontId="8" fillId="4" borderId="54" xfId="0" applyNumberFormat="1" applyFont="1" applyFill="1" applyBorder="1"/>
    <x:xf numFmtId="0" fontId="8" fillId="4" borderId="55" xfId="0" applyNumberFormat="1" applyFont="1" applyFill="1" applyBorder="1"/>
    <x:xf numFmtId="0" fontId="8" fillId="4" borderId="56" xfId="0" applyNumberFormat="1" applyFont="1" applyFill="1" applyBorder="1"/>
    <x:xf numFmtId="0" fontId="8" fillId="4" borderId="57" xfId="0" applyNumberFormat="1" applyFont="1" applyFill="1" applyBorder="1"/>
    <x:xf numFmtId="0" fontId="8" fillId="4" borderId="58" xfId="0" applyNumberFormat="1" applyFont="1" applyFill="1" applyBorder="1"/>
    <x:xf numFmtId="0" fontId="8" fillId="4" borderId="59" xfId="0" applyNumberFormat="1" applyFont="1" applyFill="1" applyBorder="1"/>
    <x:xf numFmtId="0" fontId="8" fillId="4" borderId="60" xfId="0" applyNumberFormat="1" applyFont="1" applyFill="1" applyBorder="1"/>
    <x:xf numFmtId="0" fontId="8" fillId="4" borderId="61" xfId="0" applyNumberFormat="1" applyFont="1" applyFill="1" applyBorder="1"/>
    <x:xf numFmtId="0" fontId="8" fillId="4" borderId="62" xfId="0" applyNumberFormat="1" applyFont="1" applyFill="1" applyBorder="1"/>
    <x:xf numFmtId="0" fontId="8" fillId="4" borderId="63" xfId="0" applyNumberFormat="1" applyFont="1" applyFill="1" applyBorder="1"/>
    <x:xf numFmtId="0" fontId="8" fillId="4" borderId="64" xfId="0" applyNumberFormat="1" applyFont="1" applyFill="1" applyBorder="1"/>
    <x:xf numFmtId="0" fontId="8" fillId="4" borderId="65" xfId="0" applyNumberFormat="1" applyFont="1" applyFill="1" applyBorder="1"/>
    <x:xf numFmtId="0" fontId="8" fillId="4" borderId="66" xfId="0" applyNumberFormat="1" applyFont="1" applyFill="1" applyBorder="1"/>
    <x:xf numFmtId="0" fontId="8" fillId="4" borderId="67" xfId="0" applyNumberFormat="1" applyFont="1" applyFill="1" applyBorder="1"/>
    <x:xf numFmtId="0" fontId="2" fillId="5" borderId="0" xfId="0" applyNumberFormat="1" applyFont="1" applyFill="1" applyBorder="1"/>
    <x:xf numFmtId="0" fontId="2" fillId="5" borderId="1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9" fillId="5" borderId="0" xfId="0" applyNumberFormat="1" applyFont="1" applyFill="1" applyBorder="1"/>
    <x:xf numFmtId="0" fontId="9" fillId="5" borderId="1" xfId="0" applyNumberFormat="1" applyFont="1" applyFill="1" applyBorder="1"/>
    <x:xf numFmtId="0" fontId="2" fillId="6" borderId="0" xfId="0" applyNumberFormat="1" applyFont="1" applyFill="1" applyBorder="1"/>
    <x:xf numFmtId="0" fontId="2" fillId="6" borderId="1" xfId="0" applyNumberFormat="1" applyFont="1" applyFill="1" applyBorder="1"/>
    <x:xf numFmtId="0" fontId="9" fillId="5" borderId="2" xfId="0" applyNumberFormat="1" applyFont="1" applyFill="1" applyBorder="1"/>
    <x:xf numFmtId="0" fontId="2" fillId="6" borderId="2" xfId="0" applyNumberFormat="1" applyFont="1" applyFill="1" applyBorder="1"/>
    <x:xf numFmtId="0" fontId="9" fillId="5" borderId="3" xfId="0" applyNumberFormat="1" applyFont="1" applyFill="1" applyBorder="1"/>
    <x:xf numFmtId="0" fontId="2" fillId="6" borderId="3" xfId="0" applyNumberFormat="1" applyFont="1" applyFill="1" applyBorder="1"/>
    <x:xf numFmtId="0" fontId="9" fillId="5" borderId="4" xfId="0" applyNumberFormat="1" applyFont="1" applyFill="1" applyBorder="1"/>
    <x:xf numFmtId="0" fontId="2" fillId="6" borderId="4" xfId="0" applyNumberFormat="1" applyFont="1" applyFill="1" applyBorder="1"/>
    <x:xf numFmtId="0" fontId="9" fillId="5" borderId="5" xfId="0" applyNumberFormat="1" applyFont="1" applyFill="1" applyBorder="1"/>
    <x:xf numFmtId="0" fontId="2" fillId="6" borderId="5" xfId="0" applyNumberFormat="1" applyFont="1" applyFill="1" applyBorder="1"/>
    <x:xf numFmtId="0" fontId="9" fillId="5" borderId="68" xfId="0" applyNumberFormat="1" applyFont="1" applyFill="1" applyBorder="1"/>
    <x:xf numFmtId="0" fontId="2" fillId="6" borderId="68" xfId="0" applyNumberFormat="1" applyFont="1" applyFill="1" applyBorder="1"/>
    <x:xf numFmtId="0" fontId="9" fillId="5" borderId="69" xfId="0" applyNumberFormat="1" applyFont="1" applyFill="1" applyBorder="1"/>
    <x:xf numFmtId="0" fontId="2" fillId="6" borderId="69" xfId="0" applyNumberFormat="1" applyFont="1" applyFill="1" applyBorder="1"/>
    <x:xf numFmtId="0" fontId="9" fillId="5" borderId="70" xfId="0" applyNumberFormat="1" applyFont="1" applyFill="1" applyBorder="1"/>
    <x:xf numFmtId="0" fontId="2" fillId="6" borderId="70" xfId="0" applyNumberFormat="1" applyFont="1" applyFill="1" applyBorder="1"/>
    <x:xf numFmtId="0" fontId="9" fillId="5" borderId="71" xfId="0" applyNumberFormat="1" applyFont="1" applyFill="1" applyBorder="1"/>
    <x:xf numFmtId="0" fontId="2" fillId="6" borderId="71" xfId="0" applyNumberFormat="1" applyFont="1" applyFill="1" applyBorder="1"/>
    <x:xf numFmtId="0" fontId="9" fillId="5" borderId="72" xfId="0" applyNumberFormat="1" applyFont="1" applyFill="1" applyBorder="1"/>
    <x:xf numFmtId="0" fontId="2" fillId="6" borderId="72" xfId="0" applyNumberFormat="1" applyFont="1" applyFill="1" applyBorder="1"/>
    <x:xf numFmtId="0" fontId="9" fillId="5" borderId="73" xfId="0" applyNumberFormat="1" applyFont="1" applyFill="1" applyBorder="1"/>
    <x:xf numFmtId="0" fontId="2" fillId="6" borderId="73" xfId="0" applyNumberFormat="1" applyFont="1" applyFill="1" applyBorder="1"/>
    <x:xf numFmtId="0" fontId="9" fillId="5" borderId="74" xfId="0" applyNumberFormat="1" applyFont="1" applyFill="1" applyBorder="1"/>
    <x:xf numFmtId="0" fontId="2" fillId="6" borderId="74" xfId="0" applyNumberFormat="1" applyFont="1" applyFill="1" applyBorder="1"/>
    <x:xf numFmtId="0" fontId="9" fillId="5" borderId="75" xfId="0" applyNumberFormat="1" applyFont="1" applyFill="1" applyBorder="1"/>
    <x:xf numFmtId="0" fontId="2" fillId="6" borderId="75" xfId="0" applyNumberFormat="1" applyFont="1" applyFill="1" applyBorder="1"/>
    <x:xf numFmtId="0" fontId="9" fillId="5" borderId="76" xfId="0" applyNumberFormat="1" applyFont="1" applyFill="1" applyBorder="1"/>
    <x:xf numFmtId="0" fontId="9" fillId="5" borderId="77" xfId="0" applyNumberFormat="1" applyFont="1" applyFill="1" applyBorder="1"/>
    <x:xf numFmtId="0" fontId="9" fillId="5" borderId="78" xfId="0" applyNumberFormat="1" applyFont="1" applyFill="1" applyBorder="1"/>
    <x:xf numFmtId="0" fontId="9" fillId="5" borderId="79" xfId="0" applyNumberFormat="1" applyFont="1" applyFill="1" applyBorder="1"/>
    <x:xf numFmtId="0" fontId="9" fillId="5" borderId="80" xfId="0" applyNumberFormat="1" applyFont="1" applyFill="1" applyBorder="1"/>
    <x:xf numFmtId="0" fontId="9" fillId="5" borderId="81" xfId="0" applyNumberFormat="1" applyFont="1" applyFill="1" applyBorder="1"/>
    <x:xf numFmtId="0" fontId="2" fillId="6" borderId="82" xfId="0" applyNumberFormat="1" applyFont="1" applyFill="1" applyBorder="1"/>
    <x:xf numFmtId="0" fontId="2" fillId="6" borderId="83" xfId="0" applyNumberFormat="1" applyFont="1" applyFill="1" applyBorder="1"/>
    <x:xf numFmtId="0" fontId="2" fillId="6" borderId="84" xfId="0" applyNumberFormat="1" applyFont="1" applyFill="1" applyBorder="1"/>
    <x:xf numFmtId="0" fontId="2" fillId="6" borderId="85" xfId="0" applyNumberFormat="1" applyFont="1" applyFill="1" applyBorder="1"/>
    <x:xf numFmtId="0" fontId="2" fillId="6" borderId="86" xfId="0" applyNumberFormat="1" applyFont="1" applyFill="1" applyBorder="1"/>
    <x:xf numFmtId="0" fontId="2" fillId="6" borderId="87" xfId="0" applyNumberFormat="1" applyFont="1" applyFill="1" applyBorder="1"/>
    <x:xf numFmtId="0" fontId="9" fillId="5" borderId="88" xfId="0" applyNumberFormat="1" applyFont="1" applyFill="1" applyBorder="1"/>
    <x:xf numFmtId="0" fontId="2" fillId="6" borderId="89" xfId="0" applyNumberFormat="1" applyFont="1" applyFill="1" applyBorder="1"/>
    <x:xf numFmtId="0" fontId="9" fillId="5" borderId="90" xfId="0" applyNumberFormat="1" applyFont="1" applyFill="1" applyBorder="1"/>
    <x:xf numFmtId="0" fontId="2" fillId="6" borderId="91" xfId="0" applyNumberFormat="1" applyFont="1" applyFill="1" applyBorder="1"/>
    <x:xf numFmtId="0" fontId="9" fillId="5" borderId="92" xfId="0" applyNumberFormat="1" applyFont="1" applyFill="1" applyBorder="1"/>
    <x:xf numFmtId="0" fontId="2" fillId="6" borderId="93" xfId="0" applyNumberFormat="1" applyFont="1" applyFill="1" applyBorder="1"/>
    <x:xf numFmtId="0" fontId="9" fillId="5" borderId="94" xfId="0" applyNumberFormat="1" applyFont="1" applyFill="1" applyBorder="1"/>
    <x:xf numFmtId="0" fontId="2" fillId="6" borderId="95" xfId="0" applyNumberFormat="1" applyFont="1" applyFill="1" applyBorder="1"/>
    <x:xf numFmtId="0" fontId="9" fillId="5" borderId="96" xfId="0" applyNumberFormat="1" applyFont="1" applyFill="1" applyBorder="1"/>
    <x:xf numFmtId="0" fontId="2" fillId="6" borderId="96" xfId="0" applyNumberFormat="1" applyFont="1" applyFill="1" applyBorder="1"/>
    <x:xf numFmtId="0" fontId="9" fillId="5" borderId="97" xfId="0" applyNumberFormat="1" applyFont="1" applyFill="1" applyBorder="1"/>
    <x:xf numFmtId="0" fontId="2" fillId="6" borderId="97" xfId="0" applyNumberFormat="1" applyFont="1" applyFill="1" applyBorder="1"/>
    <x:xf numFmtId="0" fontId="2" fillId="5" borderId="96" xfId="0" applyNumberFormat="1" applyFont="1" applyFill="1" applyBorder="1"/>
    <x:xf numFmtId="0" fontId="2" fillId="5" borderId="97" xfId="0" applyNumberFormat="1" applyFont="1" applyFill="1" applyBorder="1"/>
    <x:xf numFmtId="0" fontId="9" fillId="5" borderId="96" xfId="0" applyNumberFormat="1" applyFont="1" applyFill="1" applyBorder="1" applyAlignment="1">
      <x:alignment wrapText="1"/>
    </x:xf>
    <x:xf numFmtId="0" fontId="2" fillId="5" borderId="96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wrapText="1"/>
    </x:xf>
    <x:xf numFmtId="0" fontId="9" fillId="5" borderId="97" xfId="0" applyNumberFormat="1" applyFont="1" applyFill="1" applyBorder="1" applyAlignment="1">
      <x:alignment wrapText="1"/>
    </x:xf>
    <x:xf numFmtId="0" fontId="2" fillId="5" borderId="97" xfId="0" applyNumberFormat="1" applyFont="1" applyFill="1" applyBorder="1" applyAlignment="1">
      <x:alignment wrapText="1"/>
    </x:xf>
    <x:xf numFmtId="0" fontId="2" fillId="5" borderId="1" xfId="0" applyNumberFormat="1" applyFont="1" applyFill="1" applyBorder="1" applyAlignment="1">
      <x:alignment wrapText="1"/>
    </x:xf>
    <x:xf numFmtId="0" fontId="2" fillId="5" borderId="74" xfId="0" applyNumberFormat="1" applyFont="1" applyFill="1" applyBorder="1" applyAlignment="1">
      <x:alignment wrapText="1"/>
    </x:xf>
    <x:xf numFmtId="0" fontId="2" fillId="5" borderId="86" xfId="0" applyNumberFormat="1" applyFont="1" applyFill="1" applyBorder="1" applyAlignment="1">
      <x:alignment wrapText="1"/>
    </x:xf>
    <x:xf numFmtId="0" fontId="2" fillId="5" borderId="75" xfId="0" applyNumberFormat="1" applyFont="1" applyFill="1" applyBorder="1" applyAlignment="1">
      <x:alignment wrapText="1"/>
    </x:xf>
    <x:xf numFmtId="0" fontId="2" fillId="5" borderId="87" xfId="0" applyNumberFormat="1" applyFont="1" applyFill="1" applyBorder="1" applyAlignment="1">
      <x:alignment wrapText="1"/>
    </x:xf>
    <x:xf numFmtId="0" fontId="7" fillId="6" borderId="0" xfId="0" applyNumberFormat="1" applyFont="1" applyFill="1" applyBorder="1"/>
    <x:xf numFmtId="0" fontId="7" fillId="6" borderId="1" xfId="0" applyNumberFormat="1" applyFont="1" applyFill="1" applyBorder="1"/>
    <x:xf numFmtId="0" fontId="7" fillId="7" borderId="0" xfId="0" applyNumberFormat="1" applyFont="1" applyFill="1" applyBorder="1"/>
    <x:xf numFmtId="0" fontId="7" fillId="7" borderId="1" xfId="0" applyNumberFormat="1" applyFont="1" applyFill="1" applyBorder="1"/>
    <x:xf numFmtId="0" fontId="7" fillId="8" borderId="0" xfId="0" applyNumberFormat="1" applyFont="1" applyFill="1" applyBorder="1"/>
    <x:xf numFmtId="0" fontId="7" fillId="8" borderId="1" xfId="0" applyNumberFormat="1" applyFont="1" applyFill="1" applyBorder="1"/>
    <x:xf numFmtId="0" fontId="7" fillId="6" borderId="2" xfId="0" applyNumberFormat="1" applyFont="1" applyFill="1" applyBorder="1"/>
    <x:xf numFmtId="0" fontId="2" fillId="5" borderId="2" xfId="0" applyNumberFormat="1" applyFont="1" applyFill="1" applyBorder="1" applyAlignment="1">
      <x:alignment wrapText="1"/>
    </x:xf>
    <x:xf numFmtId="0" fontId="7" fillId="6" borderId="3" xfId="0" applyNumberFormat="1" applyFont="1" applyFill="1" applyBorder="1"/>
    <x:xf numFmtId="0" fontId="2" fillId="5" borderId="3" xfId="0" applyNumberFormat="1" applyFont="1" applyFill="1" applyBorder="1" applyAlignment="1">
      <x:alignment wrapText="1"/>
    </x:xf>
    <x:xf numFmtId="0" fontId="7" fillId="6" borderId="4" xfId="0" applyNumberFormat="1" applyFont="1" applyFill="1" applyBorder="1"/>
    <x:xf numFmtId="0" fontId="2" fillId="5" borderId="4" xfId="0" applyNumberFormat="1" applyFont="1" applyFill="1" applyBorder="1" applyAlignment="1">
      <x:alignment wrapText="1"/>
    </x:xf>
    <x:xf numFmtId="0" fontId="7" fillId="6" borderId="5" xfId="0" applyNumberFormat="1" applyFont="1" applyFill="1" applyBorder="1"/>
    <x:xf numFmtId="0" fontId="2" fillId="5" borderId="5" xfId="0" applyNumberFormat="1" applyFont="1" applyFill="1" applyBorder="1" applyAlignment="1">
      <x:alignment wrapText="1"/>
    </x:xf>
    <x:xf numFmtId="0" fontId="7" fillId="6" borderId="68" xfId="0" applyNumberFormat="1" applyFont="1" applyFill="1" applyBorder="1"/>
    <x:xf numFmtId="0" fontId="2" fillId="5" borderId="68" xfId="0" applyNumberFormat="1" applyFont="1" applyFill="1" applyBorder="1" applyAlignment="1">
      <x:alignment wrapText="1"/>
    </x:xf>
    <x:xf numFmtId="0" fontId="7" fillId="6" borderId="69" xfId="0" applyNumberFormat="1" applyFont="1" applyFill="1" applyBorder="1"/>
    <x:xf numFmtId="0" fontId="2" fillId="5" borderId="69" xfId="0" applyNumberFormat="1" applyFont="1" applyFill="1" applyBorder="1" applyAlignment="1">
      <x:alignment wrapText="1"/>
    </x:xf>
    <x:xf numFmtId="0" fontId="7" fillId="8" borderId="8" xfId="0" applyNumberFormat="1" applyFont="1" applyFill="1" applyBorder="1"/>
    <x:xf numFmtId="0" fontId="2" fillId="5" borderId="8" xfId="0" applyNumberFormat="1" applyFont="1" applyFill="1" applyBorder="1" applyAlignment="1">
      <x:alignment wrapText="1"/>
    </x:xf>
    <x:xf numFmtId="0" fontId="7" fillId="8" borderId="9" xfId="0" applyNumberFormat="1" applyFont="1" applyFill="1" applyBorder="1"/>
    <x:xf numFmtId="0" fontId="2" fillId="5" borderId="9" xfId="0" applyNumberFormat="1" applyFont="1" applyFill="1" applyBorder="1" applyAlignment="1">
      <x:alignment wrapText="1"/>
    </x:xf>
    <x:xf numFmtId="0" fontId="7" fillId="8" borderId="10" xfId="0" applyNumberFormat="1" applyFont="1" applyFill="1" applyBorder="1"/>
    <x:xf numFmtId="0" fontId="2" fillId="5" borderId="10" xfId="0" applyNumberFormat="1" applyFont="1" applyFill="1" applyBorder="1" applyAlignment="1">
      <x:alignment wrapText="1"/>
    </x:xf>
    <x:xf numFmtId="0" fontId="7" fillId="8" borderId="11" xfId="0" applyNumberFormat="1" applyFont="1" applyFill="1" applyBorder="1"/>
    <x:xf numFmtId="0" fontId="2" fillId="5" borderId="11" xfId="0" applyNumberFormat="1" applyFont="1" applyFill="1" applyBorder="1" applyAlignment="1">
      <x:alignment wrapText="1"/>
    </x:xf>
    <x:xf numFmtId="0" fontId="7" fillId="8" borderId="98" xfId="0" applyNumberFormat="1" applyFont="1" applyFill="1" applyBorder="1"/>
    <x:xf numFmtId="0" fontId="2" fillId="5" borderId="98" xfId="0" applyNumberFormat="1" applyFont="1" applyFill="1" applyBorder="1" applyAlignment="1">
      <x:alignment wrapText="1"/>
    </x:xf>
    <x:xf numFmtId="0" fontId="7" fillId="8" borderId="99" xfId="0" applyNumberFormat="1" applyFont="1" applyFill="1" applyBorder="1"/>
    <x:xf numFmtId="0" fontId="2" fillId="5" borderId="99" xfId="0" applyNumberFormat="1" applyFont="1" applyFill="1" applyBorder="1" applyAlignment="1">
      <x:alignment wrapText="1"/>
    </x:xf>
    <x:xf numFmtId="0" fontId="7" fillId="6" borderId="100" xfId="0" applyNumberFormat="1" applyFont="1" applyFill="1" applyBorder="1"/>
    <x:xf numFmtId="0" fontId="7" fillId="7" borderId="15" xfId="0" applyNumberFormat="1" applyFont="1" applyFill="1" applyBorder="1"/>
    <x:xf numFmtId="0" fontId="7" fillId="8" borderId="101" xfId="0" applyNumberFormat="1" applyFont="1" applyFill="1" applyBorder="1"/>
    <x:xf numFmtId="0" fontId="7" fillId="6" borderId="102" xfId="0" applyNumberFormat="1" applyFont="1" applyFill="1" applyBorder="1"/>
    <x:xf numFmtId="0" fontId="7" fillId="7" borderId="18" xfId="0" applyNumberFormat="1" applyFont="1" applyFill="1" applyBorder="1"/>
    <x:xf numFmtId="0" fontId="7" fillId="8" borderId="103" xfId="0" applyNumberFormat="1" applyFont="1" applyFill="1" applyBorder="1"/>
    <x:xf numFmtId="0" fontId="7" fillId="6" borderId="104" xfId="0" applyNumberFormat="1" applyFont="1" applyFill="1" applyBorder="1"/>
    <x:xf numFmtId="0" fontId="7" fillId="7" borderId="21" xfId="0" applyNumberFormat="1" applyFont="1" applyFill="1" applyBorder="1"/>
    <x:xf numFmtId="0" fontId="7" fillId="8" borderId="105" xfId="0" applyNumberFormat="1" applyFont="1" applyFill="1" applyBorder="1"/>
    <x:xf numFmtId="0" fontId="7" fillId="6" borderId="106" xfId="0" applyNumberFormat="1" applyFont="1" applyFill="1" applyBorder="1"/>
    <x:xf numFmtId="0" fontId="7" fillId="7" borderId="24" xfId="0" applyNumberFormat="1" applyFont="1" applyFill="1" applyBorder="1"/>
    <x:xf numFmtId="0" fontId="7" fillId="8" borderId="107" xfId="0" applyNumberFormat="1" applyFont="1" applyFill="1" applyBorder="1"/>
    <x:xf numFmtId="0" fontId="7" fillId="6" borderId="108" xfId="0" applyNumberFormat="1" applyFont="1" applyFill="1" applyBorder="1"/>
    <x:xf numFmtId="0" fontId="7" fillId="7" borderId="109" xfId="0" applyNumberFormat="1" applyFont="1" applyFill="1" applyBorder="1"/>
    <x:xf numFmtId="0" fontId="7" fillId="8" borderId="110" xfId="0" applyNumberFormat="1" applyFont="1" applyFill="1" applyBorder="1"/>
    <x:xf numFmtId="0" fontId="7" fillId="6" borderId="111" xfId="0" applyNumberFormat="1" applyFont="1" applyFill="1" applyBorder="1"/>
    <x:xf numFmtId="0" fontId="7" fillId="7" borderId="112" xfId="0" applyNumberFormat="1" applyFont="1" applyFill="1" applyBorder="1"/>
    <x:xf numFmtId="0" fontId="7" fillId="8" borderId="113" xfId="0" applyNumberFormat="1" applyFont="1" applyFill="1" applyBorder="1"/>
    <x:xf numFmtId="0" fontId="2" fillId="5" borderId="114" xfId="0" applyNumberFormat="1" applyFont="1" applyFill="1" applyBorder="1" applyAlignment="1">
      <x:alignment wrapText="1"/>
    </x:xf>
    <x:xf numFmtId="0" fontId="2" fillId="5" borderId="33" xfId="0" applyNumberFormat="1" applyFont="1" applyFill="1" applyBorder="1" applyAlignment="1">
      <x:alignment wrapText="1"/>
    </x:xf>
    <x:xf numFmtId="0" fontId="2" fillId="5" borderId="115" xfId="0" applyNumberFormat="1" applyFont="1" applyFill="1" applyBorder="1" applyAlignment="1">
      <x:alignment wrapText="1"/>
    </x:xf>
    <x:xf numFmtId="0" fontId="2" fillId="5" borderId="116" xfId="0" applyNumberFormat="1" applyFont="1" applyFill="1" applyBorder="1" applyAlignment="1">
      <x:alignment wrapText="1"/>
    </x:xf>
    <x:xf numFmtId="0" fontId="2" fillId="5" borderId="36" xfId="0" applyNumberFormat="1" applyFont="1" applyFill="1" applyBorder="1" applyAlignment="1">
      <x:alignment wrapText="1"/>
    </x:xf>
    <x:xf numFmtId="0" fontId="2" fillId="5" borderId="117" xfId="0" applyNumberFormat="1" applyFont="1" applyFill="1" applyBorder="1" applyAlignment="1">
      <x:alignment wrapText="1"/>
    </x:xf>
    <x:xf numFmtId="0" fontId="2" fillId="5" borderId="118" xfId="0" applyNumberFormat="1" applyFont="1" applyFill="1" applyBorder="1" applyAlignment="1">
      <x:alignment wrapText="1"/>
    </x:xf>
    <x:xf numFmtId="0" fontId="2" fillId="5" borderId="39" xfId="0" applyNumberFormat="1" applyFont="1" applyFill="1" applyBorder="1" applyAlignment="1">
      <x:alignment wrapText="1"/>
    </x:xf>
    <x:xf numFmtId="0" fontId="2" fillId="5" borderId="119" xfId="0" applyNumberFormat="1" applyFont="1" applyFill="1" applyBorder="1" applyAlignment="1">
      <x:alignment wrapText="1"/>
    </x:xf>
    <x:xf numFmtId="0" fontId="2" fillId="5" borderId="120" xfId="0" applyNumberFormat="1" applyFont="1" applyFill="1" applyBorder="1" applyAlignment="1">
      <x:alignment wrapText="1"/>
    </x:xf>
    <x:xf numFmtId="0" fontId="2" fillId="5" borderId="42" xfId="0" applyNumberFormat="1" applyFont="1" applyFill="1" applyBorder="1" applyAlignment="1">
      <x:alignment wrapText="1"/>
    </x:xf>
    <x:xf numFmtId="0" fontId="2" fillId="5" borderId="121" xfId="0" applyNumberFormat="1" applyFont="1" applyFill="1" applyBorder="1" applyAlignment="1">
      <x:alignment wrapText="1"/>
    </x:xf>
    <x:xf numFmtId="0" fontId="2" fillId="5" borderId="122" xfId="0" applyNumberFormat="1" applyFont="1" applyFill="1" applyBorder="1" applyAlignment="1">
      <x:alignment wrapText="1"/>
    </x:xf>
    <x:xf numFmtId="0" fontId="2" fillId="5" borderId="123" xfId="0" applyNumberFormat="1" applyFont="1" applyFill="1" applyBorder="1" applyAlignment="1">
      <x:alignment wrapText="1"/>
    </x:xf>
    <x:xf numFmtId="0" fontId="2" fillId="5" borderId="124" xfId="0" applyNumberFormat="1" applyFont="1" applyFill="1" applyBorder="1" applyAlignment="1">
      <x:alignment wrapText="1"/>
    </x:xf>
    <x:xf numFmtId="0" fontId="2" fillId="5" borderId="125" xfId="0" applyNumberFormat="1" applyFont="1" applyFill="1" applyBorder="1" applyAlignment="1">
      <x:alignment wrapText="1"/>
    </x:xf>
    <x:xf numFmtId="0" fontId="2" fillId="5" borderId="126" xfId="0" applyNumberFormat="1" applyFont="1" applyFill="1" applyBorder="1" applyAlignment="1">
      <x:alignment wrapText="1"/>
    </x:xf>
    <x:xf numFmtId="0" fontId="2" fillId="5" borderId="127" xfId="0" applyNumberFormat="1" applyFont="1" applyFill="1" applyBorder="1" applyAlignment="1">
      <x:alignment wrapText="1"/>
    </x:xf>
    <x:xf numFmtId="0" fontId="7" fillId="6" borderId="128" xfId="0" applyNumberFormat="1" applyFont="1" applyFill="1" applyBorder="1"/>
    <x:xf numFmtId="0" fontId="2" fillId="5" borderId="129" xfId="0" applyNumberFormat="1" applyFont="1" applyFill="1" applyBorder="1" applyAlignment="1">
      <x:alignment wrapText="1"/>
    </x:xf>
    <x:xf numFmtId="0" fontId="7" fillId="7" borderId="130" xfId="0" applyNumberFormat="1" applyFont="1" applyFill="1" applyBorder="1"/>
    <x:xf numFmtId="0" fontId="2" fillId="5" borderId="131" xfId="0" applyNumberFormat="1" applyFont="1" applyFill="1" applyBorder="1" applyAlignment="1">
      <x:alignment wrapText="1"/>
    </x:xf>
    <x:xf numFmtId="0" fontId="7" fillId="8" borderId="132" xfId="0" applyNumberFormat="1" applyFont="1" applyFill="1" applyBorder="1"/>
    <x:xf numFmtId="0" fontId="2" fillId="5" borderId="133" xfId="0" applyNumberFormat="1" applyFont="1" applyFill="1" applyBorder="1" applyAlignment="1">
      <x:alignment wrapText="1"/>
    </x:xf>
    <x:xf numFmtId="0" fontId="7" fillId="6" borderId="134" xfId="0" applyNumberFormat="1" applyFont="1" applyFill="1" applyBorder="1"/>
    <x:xf numFmtId="0" fontId="2" fillId="5" borderId="135" xfId="0" applyNumberFormat="1" applyFont="1" applyFill="1" applyBorder="1" applyAlignment="1">
      <x:alignment wrapText="1"/>
    </x:xf>
    <x:xf numFmtId="0" fontId="7" fillId="7" borderId="136" xfId="0" applyNumberFormat="1" applyFont="1" applyFill="1" applyBorder="1"/>
    <x:xf numFmtId="0" fontId="2" fillId="5" borderId="137" xfId="0" applyNumberFormat="1" applyFont="1" applyFill="1" applyBorder="1" applyAlignment="1">
      <x:alignment wrapText="1"/>
    </x:xf>
    <x:xf numFmtId="0" fontId="7" fillId="8" borderId="138" xfId="0" applyNumberFormat="1" applyFont="1" applyFill="1" applyBorder="1"/>
    <x:xf numFmtId="0" fontId="2" fillId="5" borderId="139" xfId="0" applyNumberFormat="1" applyFont="1" applyFill="1" applyBorder="1" applyAlignment="1">
      <x:alignment wrapText="1"/>
    </x:xf>
    <x:xf numFmtId="0" fontId="7" fillId="6" borderId="140" xfId="0" applyNumberFormat="1" applyFont="1" applyFill="1" applyBorder="1"/>
    <x:xf numFmtId="0" fontId="2" fillId="5" borderId="141" xfId="0" applyNumberFormat="1" applyFont="1" applyFill="1" applyBorder="1" applyAlignment="1">
      <x:alignment wrapText="1"/>
    </x:xf>
    <x:xf numFmtId="0" fontId="7" fillId="7" borderId="142" xfId="0" applyNumberFormat="1" applyFont="1" applyFill="1" applyBorder="1"/>
    <x:xf numFmtId="0" fontId="2" fillId="5" borderId="143" xfId="0" applyNumberFormat="1" applyFont="1" applyFill="1" applyBorder="1" applyAlignment="1">
      <x:alignment wrapText="1"/>
    </x:xf>
    <x:xf numFmtId="0" fontId="7" fillId="8" borderId="144" xfId="0" applyNumberFormat="1" applyFont="1" applyFill="1" applyBorder="1"/>
    <x:xf numFmtId="0" fontId="2" fillId="5" borderId="145" xfId="0" applyNumberFormat="1" applyFont="1" applyFill="1" applyBorder="1" applyAlignment="1">
      <x:alignment wrapText="1"/>
    </x:xf>
    <x:xf numFmtId="0" fontId="7" fillId="6" borderId="146" xfId="0" applyNumberFormat="1" applyFont="1" applyFill="1" applyBorder="1"/>
    <x:xf numFmtId="0" fontId="2" fillId="5" borderId="147" xfId="0" applyNumberFormat="1" applyFont="1" applyFill="1" applyBorder="1" applyAlignment="1">
      <x:alignment wrapText="1"/>
    </x:xf>
    <x:xf numFmtId="0" fontId="7" fillId="7" borderId="148" xfId="0" applyNumberFormat="1" applyFont="1" applyFill="1" applyBorder="1"/>
    <x:xf numFmtId="0" fontId="2" fillId="5" borderId="149" xfId="0" applyNumberFormat="1" applyFont="1" applyFill="1" applyBorder="1" applyAlignment="1">
      <x:alignment wrapText="1"/>
    </x:xf>
    <x:xf numFmtId="0" fontId="7" fillId="8" borderId="150" xfId="0" applyNumberFormat="1" applyFont="1" applyFill="1" applyBorder="1"/>
    <x:xf numFmtId="0" fontId="2" fillId="5" borderId="151" xfId="0" applyNumberFormat="1" applyFont="1" applyFill="1" applyBorder="1" applyAlignment="1">
      <x:alignment wrapText="1"/>
    </x:xf>
    <x:xf numFmtId="0" fontId="7" fillId="6" borderId="80" xfId="0" applyNumberFormat="1" applyFont="1" applyFill="1" applyBorder="1"/>
    <x:xf numFmtId="0" fontId="7" fillId="7" borderId="80" xfId="0" applyNumberFormat="1" applyFont="1" applyFill="1" applyBorder="1"/>
    <x:xf numFmtId="0" fontId="7" fillId="8" borderId="80" xfId="0" applyNumberFormat="1" applyFont="1" applyFill="1" applyBorder="1"/>
    <x:xf numFmtId="0" fontId="7" fillId="6" borderId="81" xfId="0" applyNumberFormat="1" applyFont="1" applyFill="1" applyBorder="1"/>
    <x:xf numFmtId="0" fontId="7" fillId="7" borderId="81" xfId="0" applyNumberFormat="1" applyFont="1" applyFill="1" applyBorder="1"/>
    <x:xf numFmtId="0" fontId="7" fillId="8" borderId="81" xfId="0" applyNumberFormat="1" applyFont="1" applyFill="1" applyBorder="1"/>
    <x:xf numFmtId="0" fontId="7" fillId="6" borderId="88" xfId="0" applyNumberFormat="1" applyFont="1" applyFill="1" applyBorder="1"/>
    <x:xf numFmtId="0" fontId="2" fillId="5" borderId="89" xfId="0" applyNumberFormat="1" applyFont="1" applyFill="1" applyBorder="1" applyAlignment="1">
      <x:alignment wrapText="1"/>
    </x:xf>
    <x:xf numFmtId="0" fontId="7" fillId="7" borderId="88" xfId="0" applyNumberFormat="1" applyFont="1" applyFill="1" applyBorder="1"/>
    <x:xf numFmtId="0" fontId="7" fillId="8" borderId="88" xfId="0" applyNumberFormat="1" applyFont="1" applyFill="1" applyBorder="1"/>
    <x:xf numFmtId="0" fontId="7" fillId="6" borderId="90" xfId="0" applyNumberFormat="1" applyFont="1" applyFill="1" applyBorder="1"/>
    <x:xf numFmtId="0" fontId="2" fillId="5" borderId="91" xfId="0" applyNumberFormat="1" applyFont="1" applyFill="1" applyBorder="1" applyAlignment="1">
      <x:alignment wrapText="1"/>
    </x:xf>
    <x:xf numFmtId="0" fontId="7" fillId="7" borderId="90" xfId="0" applyNumberFormat="1" applyFont="1" applyFill="1" applyBorder="1"/>
    <x:xf numFmtId="0" fontId="7" fillId="8" borderId="90" xfId="0" applyNumberFormat="1" applyFont="1" applyFill="1" applyBorder="1"/>
    <x:xf numFmtId="0" fontId="7" fillId="6" borderId="92" xfId="0" applyNumberFormat="1" applyFont="1" applyFill="1" applyBorder="1"/>
    <x:xf numFmtId="0" fontId="2" fillId="5" borderId="93" xfId="0" applyNumberFormat="1" applyFont="1" applyFill="1" applyBorder="1" applyAlignment="1">
      <x:alignment wrapText="1"/>
    </x:xf>
    <x:xf numFmtId="0" fontId="7" fillId="7" borderId="92" xfId="0" applyNumberFormat="1" applyFont="1" applyFill="1" applyBorder="1"/>
    <x:xf numFmtId="0" fontId="7" fillId="8" borderId="92" xfId="0" applyNumberFormat="1" applyFont="1" applyFill="1" applyBorder="1"/>
    <x:xf numFmtId="0" fontId="7" fillId="6" borderId="94" xfId="0" applyNumberFormat="1" applyFont="1" applyFill="1" applyBorder="1"/>
    <x:xf numFmtId="0" fontId="2" fillId="5" borderId="95" xfId="0" applyNumberFormat="1" applyFont="1" applyFill="1" applyBorder="1" applyAlignment="1">
      <x:alignment wrapText="1"/>
    </x:xf>
    <x:xf numFmtId="0" fontId="7" fillId="7" borderId="94" xfId="0" applyNumberFormat="1" applyFont="1" applyFill="1" applyBorder="1"/>
    <x:xf numFmtId="0" fontId="7" fillId="8" borderId="94" xfId="0" applyNumberFormat="1" applyFont="1" applyFill="1" applyBorder="1"/>
    <x:xf numFmtId="0" fontId="7" fillId="6" borderId="96" xfId="0" applyNumberFormat="1" applyFont="1" applyFill="1" applyBorder="1"/>
    <x:xf numFmtId="0" fontId="7" fillId="7" borderId="96" xfId="0" applyNumberFormat="1" applyFont="1" applyFill="1" applyBorder="1"/>
    <x:xf numFmtId="0" fontId="7" fillId="8" borderId="96" xfId="0" applyNumberFormat="1" applyFont="1" applyFill="1" applyBorder="1"/>
    <x:xf numFmtId="0" fontId="7" fillId="6" borderId="97" xfId="0" applyNumberFormat="1" applyFont="1" applyFill="1" applyBorder="1"/>
    <x:xf numFmtId="0" fontId="7" fillId="7" borderId="97" xfId="0" applyNumberFormat="1" applyFont="1" applyFill="1" applyBorder="1"/>
    <x:xf numFmtId="0" fontId="7" fillId="8" borderId="97" xfId="0" applyNumberFormat="1" applyFont="1" applyFill="1" applyBorder="1"/>
    <x:xf numFmtId="0" fontId="2" fillId="7" borderId="0" xfId="0" applyNumberFormat="1" applyFont="1" applyFill="1" applyBorder="1"/>
    <x:xf numFmtId="0" fontId="2" fillId="7" borderId="1" xfId="0" applyNumberFormat="1" applyFont="1" applyFill="1" applyBorder="1"/>
    <x:xf numFmtId="200" fontId="2" fillId="6" borderId="0" xfId="0" applyNumberFormat="1" applyFont="1" applyFill="1" applyBorder="1"/>
    <x:xf numFmtId="200" fontId="2" fillId="6" borderId="1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8" xfId="0" applyNumberFormat="1" applyFont="1" applyFill="1" applyBorder="1"/>
    <x:xf numFmtId="0" fontId="7" fillId="7" borderId="69" xfId="0" applyNumberFormat="1" applyFont="1" applyFill="1" applyBorder="1"/>
    <x:xf numFmtId="0" fontId="7" fillId="7" borderId="8" xfId="0" applyNumberFormat="1" applyFont="1" applyFill="1" applyBorder="1"/>
    <x:xf numFmtId="0" fontId="2" fillId="6" borderId="8" xfId="0" applyNumberFormat="1" applyFont="1" applyFill="1" applyBorder="1"/>
    <x:xf numFmtId="0" fontId="7" fillId="7" borderId="9" xfId="0" applyNumberFormat="1" applyFont="1" applyFill="1" applyBorder="1"/>
    <x:xf numFmtId="0" fontId="2" fillId="6" borderId="9" xfId="0" applyNumberFormat="1" applyFont="1" applyFill="1" applyBorder="1"/>
    <x:xf numFmtId="0" fontId="7" fillId="7" borderId="10" xfId="0" applyNumberFormat="1" applyFont="1" applyFill="1" applyBorder="1"/>
    <x:xf numFmtId="0" fontId="2" fillId="6" borderId="10" xfId="0" applyNumberFormat="1" applyFont="1" applyFill="1" applyBorder="1"/>
    <x:xf numFmtId="0" fontId="7" fillId="7" borderId="11" xfId="0" applyNumberFormat="1" applyFont="1" applyFill="1" applyBorder="1"/>
    <x:xf numFmtId="0" fontId="2" fillId="6" borderId="11" xfId="0" applyNumberFormat="1" applyFont="1" applyFill="1" applyBorder="1"/>
    <x:xf numFmtId="0" fontId="7" fillId="7" borderId="98" xfId="0" applyNumberFormat="1" applyFont="1" applyFill="1" applyBorder="1"/>
    <x:xf numFmtId="0" fontId="2" fillId="6" borderId="98" xfId="0" applyNumberFormat="1" applyFont="1" applyFill="1" applyBorder="1"/>
    <x:xf numFmtId="0" fontId="7" fillId="7" borderId="99" xfId="0" applyNumberFormat="1" applyFont="1" applyFill="1" applyBorder="1"/>
    <x:xf numFmtId="0" fontId="2" fillId="6" borderId="99" xfId="0" applyNumberFormat="1" applyFont="1" applyFill="1" applyBorder="1"/>
    <x:xf numFmtId="0" fontId="7" fillId="7" borderId="100" xfId="0" applyNumberFormat="1" applyFont="1" applyFill="1" applyBorder="1"/>
    <x:xf numFmtId="0" fontId="7" fillId="7" borderId="101" xfId="0" applyNumberFormat="1" applyFont="1" applyFill="1" applyBorder="1"/>
    <x:xf numFmtId="0" fontId="7" fillId="7" borderId="102" xfId="0" applyNumberFormat="1" applyFont="1" applyFill="1" applyBorder="1"/>
    <x:xf numFmtId="0" fontId="7" fillId="7" borderId="103" xfId="0" applyNumberFormat="1" applyFont="1" applyFill="1" applyBorder="1"/>
    <x:xf numFmtId="0" fontId="7" fillId="7" borderId="104" xfId="0" applyNumberFormat="1" applyFont="1" applyFill="1" applyBorder="1"/>
    <x:xf numFmtId="0" fontId="7" fillId="7" borderId="105" xfId="0" applyNumberFormat="1" applyFont="1" applyFill="1" applyBorder="1"/>
    <x:xf numFmtId="0" fontId="7" fillId="7" borderId="106" xfId="0" applyNumberFormat="1" applyFont="1" applyFill="1" applyBorder="1"/>
    <x:xf numFmtId="0" fontId="7" fillId="7" borderId="107" xfId="0" applyNumberFormat="1" applyFont="1" applyFill="1" applyBorder="1"/>
    <x:xf numFmtId="0" fontId="7" fillId="7" borderId="108" xfId="0" applyNumberFormat="1" applyFont="1" applyFill="1" applyBorder="1"/>
    <x:xf numFmtId="0" fontId="7" fillId="7" borderId="110" xfId="0" applyNumberFormat="1" applyFont="1" applyFill="1" applyBorder="1"/>
    <x:xf numFmtId="0" fontId="7" fillId="7" borderId="111" xfId="0" applyNumberFormat="1" applyFont="1" applyFill="1" applyBorder="1"/>
    <x:xf numFmtId="0" fontId="7" fillId="7" borderId="113" xfId="0" applyNumberFormat="1" applyFont="1" applyFill="1" applyBorder="1"/>
    <x:xf numFmtId="0" fontId="2" fillId="6" borderId="114" xfId="0" applyNumberFormat="1" applyFont="1" applyFill="1" applyBorder="1"/>
    <x:xf numFmtId="0" fontId="2" fillId="6" borderId="33" xfId="0" applyNumberFormat="1" applyFont="1" applyFill="1" applyBorder="1"/>
    <x:xf numFmtId="200" fontId="2" fillId="6" borderId="33" xfId="0" applyNumberFormat="1" applyFont="1" applyFill="1" applyBorder="1"/>
    <x:xf numFmtId="0" fontId="2" fillId="6" borderId="115" xfId="0" applyNumberFormat="1" applyFont="1" applyFill="1" applyBorder="1"/>
    <x:xf numFmtId="0" fontId="2" fillId="6" borderId="116" xfId="0" applyNumberFormat="1" applyFont="1" applyFill="1" applyBorder="1"/>
    <x:xf numFmtId="0" fontId="2" fillId="6" borderId="36" xfId="0" applyNumberFormat="1" applyFont="1" applyFill="1" applyBorder="1"/>
    <x:xf numFmtId="200" fontId="2" fillId="6" borderId="36" xfId="0" applyNumberFormat="1" applyFont="1" applyFill="1" applyBorder="1"/>
    <x:xf numFmtId="0" fontId="2" fillId="6" borderId="117" xfId="0" applyNumberFormat="1" applyFont="1" applyFill="1" applyBorder="1"/>
    <x:xf numFmtId="0" fontId="2" fillId="6" borderId="118" xfId="0" applyNumberFormat="1" applyFont="1" applyFill="1" applyBorder="1"/>
    <x:xf numFmtId="0" fontId="2" fillId="6" borderId="39" xfId="0" applyNumberFormat="1" applyFont="1" applyFill="1" applyBorder="1"/>
    <x:xf numFmtId="200" fontId="2" fillId="6" borderId="39" xfId="0" applyNumberFormat="1" applyFont="1" applyFill="1" applyBorder="1"/>
    <x:xf numFmtId="0" fontId="2" fillId="6" borderId="119" xfId="0" applyNumberFormat="1" applyFont="1" applyFill="1" applyBorder="1"/>
    <x:xf numFmtId="0" fontId="2" fillId="6" borderId="120" xfId="0" applyNumberFormat="1" applyFont="1" applyFill="1" applyBorder="1"/>
    <x:xf numFmtId="0" fontId="2" fillId="6" borderId="42" xfId="0" applyNumberFormat="1" applyFont="1" applyFill="1" applyBorder="1"/>
    <x:xf numFmtId="200" fontId="2" fillId="6" borderId="42" xfId="0" applyNumberFormat="1" applyFont="1" applyFill="1" applyBorder="1"/>
    <x:xf numFmtId="0" fontId="2" fillId="6" borderId="121" xfId="0" applyNumberFormat="1" applyFont="1" applyFill="1" applyBorder="1"/>
    <x:xf numFmtId="0" fontId="2" fillId="6" borderId="122" xfId="0" applyNumberFormat="1" applyFont="1" applyFill="1" applyBorder="1"/>
    <x:xf numFmtId="0" fontId="2" fillId="6" borderId="123" xfId="0" applyNumberFormat="1" applyFont="1" applyFill="1" applyBorder="1"/>
    <x:xf numFmtId="200" fontId="2" fillId="6" borderId="123" xfId="0" applyNumberFormat="1" applyFont="1" applyFill="1" applyBorder="1"/>
    <x:xf numFmtId="0" fontId="2" fillId="6" borderId="124" xfId="0" applyNumberFormat="1" applyFont="1" applyFill="1" applyBorder="1"/>
    <x:xf numFmtId="0" fontId="2" fillId="6" borderId="125" xfId="0" applyNumberFormat="1" applyFont="1" applyFill="1" applyBorder="1"/>
    <x:xf numFmtId="0" fontId="2" fillId="6" borderId="126" xfId="0" applyNumberFormat="1" applyFont="1" applyFill="1" applyBorder="1"/>
    <x:xf numFmtId="200" fontId="2" fillId="6" borderId="126" xfId="0" applyNumberFormat="1" applyFont="1" applyFill="1" applyBorder="1"/>
    <x:xf numFmtId="0" fontId="2" fillId="6" borderId="127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201" fontId="2" fillId="6" borderId="0" xfId="0" applyNumberFormat="1" applyFont="1" applyFill="1" applyBorder="1"/>
    <x:xf numFmtId="201" fontId="2" fillId="6" borderId="1" xfId="0" applyNumberFormat="1" applyFont="1" applyFill="1" applyBorder="1"/>
    <x:xf numFmtId="202" fontId="2" fillId="2" borderId="0" xfId="0" applyNumberFormat="1" applyFont="1" applyFill="1" applyBorder="1"/>
    <x:xf numFmtId="202" fontId="2" fillId="2" borderId="1" xfId="0" applyNumberFormat="1" applyFont="1" applyFill="1" applyBorder="1"/>
    <x:xf numFmtId="201" fontId="2" fillId="2" borderId="0" xfId="0" applyNumberFormat="1" applyFont="1" applyFill="1" applyBorder="1"/>
    <x:xf numFmtId="201" fontId="2" fillId="2" borderId="1" xfId="0" applyNumberFormat="1" applyFont="1" applyFill="1" applyBorder="1"/>
    <x:xf numFmtId="200" fontId="2" fillId="2" borderId="0" xfId="0" applyNumberFormat="1" applyFont="1" applyFill="1" applyBorder="1"/>
    <x:xf numFmtId="200" fontId="2" fillId="2" borderId="1" xfId="0" applyNumberFormat="1" applyFont="1" applyFill="1" applyBorder="1"/>
    <x:xf numFmtId="203" fontId="2" fillId="6" borderId="0" xfId="0" applyNumberFormat="1" applyFont="1" applyFill="1" applyBorder="1"/>
    <x:xf numFmtId="203" fontId="2" fillId="6" borderId="1" xfId="0" applyNumberFormat="1" applyFont="1" applyFill="1" applyBorder="1"/>
    <x:xf numFmtId="0" fontId="4" fillId="3" borderId="2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wrapText="1"/>
    </x:xf>
    <x:xf numFmtId="0" fontId="4" fillId="3" borderId="4" xfId="0" applyNumberFormat="1" applyFont="1" applyFill="1" applyBorder="1" applyAlignment="1">
      <x:alignment wrapText="1"/>
    </x:xf>
    <x:xf numFmtId="0" fontId="4" fillId="3" borderId="5" xfId="0" applyNumberFormat="1" applyFont="1" applyFill="1" applyBorder="1" applyAlignment="1">
      <x:alignment wrapText="1"/>
    </x:xf>
    <x:xf numFmtId="0" fontId="4" fillId="3" borderId="68" xfId="0" applyNumberFormat="1" applyFont="1" applyFill="1" applyBorder="1" applyAlignment="1">
      <x:alignment wrapText="1"/>
    </x:xf>
    <x:xf numFmtId="0" fontId="4" fillId="3" borderId="69" xfId="0" applyNumberFormat="1" applyFont="1" applyFill="1" applyBorder="1" applyAlignment="1">
      <x:alignment wrapText="1"/>
    </x:xf>
    <x:xf numFmtId="203" fontId="2" fillId="6" borderId="8" xfId="0" applyNumberFormat="1" applyFont="1" applyFill="1" applyBorder="1"/>
    <x:xf numFmtId="201" fontId="2" fillId="6" borderId="8" xfId="0" applyNumberFormat="1" applyFont="1" applyFill="1" applyBorder="1"/>
    <x:xf numFmtId="202" fontId="2" fillId="2" borderId="8" xfId="0" applyNumberFormat="1" applyFont="1" applyFill="1" applyBorder="1"/>
    <x:xf numFmtId="201" fontId="2" fillId="2" borderId="8" xfId="0" applyNumberFormat="1" applyFont="1" applyFill="1" applyBorder="1"/>
    <x:xf numFmtId="200" fontId="2" fillId="2" borderId="8" xfId="0" applyNumberFormat="1" applyFont="1" applyFill="1" applyBorder="1"/>
    <x:xf numFmtId="0" fontId="2" fillId="2" borderId="8" xfId="0" applyNumberFormat="1" applyFont="1" applyFill="1" applyBorder="1"/>
    <x:xf numFmtId="203" fontId="2" fillId="6" borderId="9" xfId="0" applyNumberFormat="1" applyFont="1" applyFill="1" applyBorder="1"/>
    <x:xf numFmtId="201" fontId="2" fillId="6" borderId="9" xfId="0" applyNumberFormat="1" applyFont="1" applyFill="1" applyBorder="1"/>
    <x:xf numFmtId="202" fontId="2" fillId="2" borderId="9" xfId="0" applyNumberFormat="1" applyFont="1" applyFill="1" applyBorder="1"/>
    <x:xf numFmtId="201" fontId="2" fillId="2" borderId="9" xfId="0" applyNumberFormat="1" applyFont="1" applyFill="1" applyBorder="1"/>
    <x:xf numFmtId="200" fontId="2" fillId="2" borderId="9" xfId="0" applyNumberFormat="1" applyFont="1" applyFill="1" applyBorder="1"/>
    <x:xf numFmtId="0" fontId="2" fillId="2" borderId="9" xfId="0" applyNumberFormat="1" applyFont="1" applyFill="1" applyBorder="1"/>
    <x:xf numFmtId="203" fontId="2" fillId="6" borderId="10" xfId="0" applyNumberFormat="1" applyFont="1" applyFill="1" applyBorder="1"/>
    <x:xf numFmtId="201" fontId="2" fillId="6" borderId="10" xfId="0" applyNumberFormat="1" applyFont="1" applyFill="1" applyBorder="1"/>
    <x:xf numFmtId="202" fontId="2" fillId="2" borderId="10" xfId="0" applyNumberFormat="1" applyFont="1" applyFill="1" applyBorder="1"/>
    <x:xf numFmtId="201" fontId="2" fillId="2" borderId="10" xfId="0" applyNumberFormat="1" applyFont="1" applyFill="1" applyBorder="1"/>
    <x:xf numFmtId="200" fontId="2" fillId="2" borderId="10" xfId="0" applyNumberFormat="1" applyFont="1" applyFill="1" applyBorder="1"/>
    <x:xf numFmtId="0" fontId="2" fillId="2" borderId="10" xfId="0" applyNumberFormat="1" applyFont="1" applyFill="1" applyBorder="1"/>
    <x:xf numFmtId="203" fontId="2" fillId="6" borderId="11" xfId="0" applyNumberFormat="1" applyFont="1" applyFill="1" applyBorder="1"/>
    <x:xf numFmtId="201" fontId="2" fillId="6" borderId="11" xfId="0" applyNumberFormat="1" applyFont="1" applyFill="1" applyBorder="1"/>
    <x:xf numFmtId="202" fontId="2" fillId="2" borderId="11" xfId="0" applyNumberFormat="1" applyFont="1" applyFill="1" applyBorder="1"/>
    <x:xf numFmtId="201" fontId="2" fillId="2" borderId="11" xfId="0" applyNumberFormat="1" applyFont="1" applyFill="1" applyBorder="1"/>
    <x:xf numFmtId="200" fontId="2" fillId="2" borderId="11" xfId="0" applyNumberFormat="1" applyFont="1" applyFill="1" applyBorder="1"/>
    <x:xf numFmtId="0" fontId="2" fillId="2" borderId="11" xfId="0" applyNumberFormat="1" applyFont="1" applyFill="1" applyBorder="1"/>
    <x:xf numFmtId="203" fontId="2" fillId="6" borderId="98" xfId="0" applyNumberFormat="1" applyFont="1" applyFill="1" applyBorder="1"/>
    <x:xf numFmtId="201" fontId="2" fillId="6" borderId="98" xfId="0" applyNumberFormat="1" applyFont="1" applyFill="1" applyBorder="1"/>
    <x:xf numFmtId="202" fontId="2" fillId="2" borderId="98" xfId="0" applyNumberFormat="1" applyFont="1" applyFill="1" applyBorder="1"/>
    <x:xf numFmtId="201" fontId="2" fillId="2" borderId="98" xfId="0" applyNumberFormat="1" applyFont="1" applyFill="1" applyBorder="1"/>
    <x:xf numFmtId="200" fontId="2" fillId="2" borderId="98" xfId="0" applyNumberFormat="1" applyFont="1" applyFill="1" applyBorder="1"/>
    <x:xf numFmtId="0" fontId="2" fillId="2" borderId="98" xfId="0" applyNumberFormat="1" applyFont="1" applyFill="1" applyBorder="1"/>
    <x:xf numFmtId="203" fontId="2" fillId="6" borderId="99" xfId="0" applyNumberFormat="1" applyFont="1" applyFill="1" applyBorder="1"/>
    <x:xf numFmtId="201" fontId="2" fillId="6" borderId="99" xfId="0" applyNumberFormat="1" applyFont="1" applyFill="1" applyBorder="1"/>
    <x:xf numFmtId="202" fontId="2" fillId="2" borderId="99" xfId="0" applyNumberFormat="1" applyFont="1" applyFill="1" applyBorder="1"/>
    <x:xf numFmtId="201" fontId="2" fillId="2" borderId="99" xfId="0" applyNumberFormat="1" applyFont="1" applyFill="1" applyBorder="1"/>
    <x:xf numFmtId="200" fontId="2" fillId="2" borderId="99" xfId="0" applyNumberFormat="1" applyFont="1" applyFill="1" applyBorder="1"/>
    <x:xf numFmtId="0" fontId="2" fillId="2" borderId="99" xfId="0" applyNumberFormat="1" applyFont="1" applyFill="1" applyBorder="1"/>
    <x:xf numFmtId="0" fontId="4" fillId="3" borderId="100" xfId="0" applyNumberFormat="1" applyFont="1" applyFill="1" applyBorder="1" applyAlignment="1">
      <x:alignment wrapText="1"/>
    </x:xf>
    <x:xf numFmtId="203" fontId="2" fillId="6" borderId="15" xfId="0" applyNumberFormat="1" applyFont="1" applyFill="1" applyBorder="1"/>
    <x:xf numFmtId="203" fontId="2" fillId="6" borderId="101" xfId="0" applyNumberFormat="1" applyFont="1" applyFill="1" applyBorder="1"/>
    <x:xf numFmtId="0" fontId="4" fillId="3" borderId="102" xfId="0" applyNumberFormat="1" applyFont="1" applyFill="1" applyBorder="1" applyAlignment="1">
      <x:alignment wrapText="1"/>
    </x:xf>
    <x:xf numFmtId="203" fontId="2" fillId="6" borderId="18" xfId="0" applyNumberFormat="1" applyFont="1" applyFill="1" applyBorder="1"/>
    <x:xf numFmtId="203" fontId="2" fillId="6" borderId="103" xfId="0" applyNumberFormat="1" applyFont="1" applyFill="1" applyBorder="1"/>
    <x:xf numFmtId="0" fontId="4" fillId="3" borderId="104" xfId="0" applyNumberFormat="1" applyFont="1" applyFill="1" applyBorder="1" applyAlignment="1">
      <x:alignment wrapText="1"/>
    </x:xf>
    <x:xf numFmtId="203" fontId="2" fillId="6" borderId="21" xfId="0" applyNumberFormat="1" applyFont="1" applyFill="1" applyBorder="1"/>
    <x:xf numFmtId="203" fontId="2" fillId="6" borderId="105" xfId="0" applyNumberFormat="1" applyFont="1" applyFill="1" applyBorder="1"/>
    <x:xf numFmtId="0" fontId="4" fillId="3" borderId="106" xfId="0" applyNumberFormat="1" applyFont="1" applyFill="1" applyBorder="1" applyAlignment="1">
      <x:alignment wrapText="1"/>
    </x:xf>
    <x:xf numFmtId="203" fontId="2" fillId="6" borderId="24" xfId="0" applyNumberFormat="1" applyFont="1" applyFill="1" applyBorder="1"/>
    <x:xf numFmtId="203" fontId="2" fillId="6" borderId="107" xfId="0" applyNumberFormat="1" applyFont="1" applyFill="1" applyBorder="1"/>
    <x:xf numFmtId="0" fontId="4" fillId="3" borderId="108" xfId="0" applyNumberFormat="1" applyFont="1" applyFill="1" applyBorder="1" applyAlignment="1">
      <x:alignment wrapText="1"/>
    </x:xf>
    <x:xf numFmtId="203" fontId="2" fillId="6" borderId="109" xfId="0" applyNumberFormat="1" applyFont="1" applyFill="1" applyBorder="1"/>
    <x:xf numFmtId="203" fontId="2" fillId="6" borderId="110" xfId="0" applyNumberFormat="1" applyFont="1" applyFill="1" applyBorder="1"/>
    <x:xf numFmtId="0" fontId="4" fillId="3" borderId="111" xfId="0" applyNumberFormat="1" applyFont="1" applyFill="1" applyBorder="1" applyAlignment="1">
      <x:alignment wrapText="1"/>
    </x:xf>
    <x:xf numFmtId="203" fontId="2" fillId="6" borderId="112" xfId="0" applyNumberFormat="1" applyFont="1" applyFill="1" applyBorder="1"/>
    <x:xf numFmtId="203" fontId="2" fillId="6" borderId="113" xfId="0" applyNumberFormat="1" applyFont="1" applyFill="1" applyBorder="1"/>
    <x:xf numFmtId="0" fontId="4" fillId="3" borderId="114" xfId="0" applyNumberFormat="1" applyFont="1" applyFill="1" applyBorder="1" applyAlignment="1">
      <x:alignment wrapText="1"/>
    </x:xf>
    <x:xf numFmtId="0" fontId="2" fillId="2" borderId="33" xfId="0" applyNumberFormat="1" applyFont="1" applyFill="1" applyBorder="1"/>
    <x:xf numFmtId="0" fontId="2" fillId="2" borderId="115" xfId="0" applyNumberFormat="1" applyFont="1" applyFill="1" applyBorder="1"/>
    <x:xf numFmtId="0" fontId="4" fillId="3" borderId="116" xfId="0" applyNumberFormat="1" applyFont="1" applyFill="1" applyBorder="1" applyAlignment="1">
      <x:alignment wrapText="1"/>
    </x:xf>
    <x:xf numFmtId="0" fontId="2" fillId="2" borderId="36" xfId="0" applyNumberFormat="1" applyFont="1" applyFill="1" applyBorder="1"/>
    <x:xf numFmtId="0" fontId="2" fillId="2" borderId="117" xfId="0" applyNumberFormat="1" applyFont="1" applyFill="1" applyBorder="1"/>
    <x:xf numFmtId="0" fontId="4" fillId="3" borderId="118" xfId="0" applyNumberFormat="1" applyFont="1" applyFill="1" applyBorder="1" applyAlignment="1">
      <x:alignment wrapText="1"/>
    </x:xf>
    <x:xf numFmtId="0" fontId="2" fillId="2" borderId="39" xfId="0" applyNumberFormat="1" applyFont="1" applyFill="1" applyBorder="1"/>
    <x:xf numFmtId="0" fontId="2" fillId="2" borderId="119" xfId="0" applyNumberFormat="1" applyFont="1" applyFill="1" applyBorder="1"/>
    <x:xf numFmtId="0" fontId="4" fillId="3" borderId="120" xfId="0" applyNumberFormat="1" applyFont="1" applyFill="1" applyBorder="1" applyAlignment="1">
      <x:alignment wrapText="1"/>
    </x:xf>
    <x:xf numFmtId="0" fontId="2" fillId="2" borderId="42" xfId="0" applyNumberFormat="1" applyFont="1" applyFill="1" applyBorder="1"/>
    <x:xf numFmtId="0" fontId="2" fillId="2" borderId="121" xfId="0" applyNumberFormat="1" applyFont="1" applyFill="1" applyBorder="1"/>
    <x:xf numFmtId="0" fontId="4" fillId="3" borderId="122" xfId="0" applyNumberFormat="1" applyFont="1" applyFill="1" applyBorder="1" applyAlignment="1">
      <x:alignment wrapText="1"/>
    </x:xf>
    <x:xf numFmtId="0" fontId="2" fillId="2" borderId="123" xfId="0" applyNumberFormat="1" applyFont="1" applyFill="1" applyBorder="1"/>
    <x:xf numFmtId="0" fontId="2" fillId="2" borderId="124" xfId="0" applyNumberFormat="1" applyFont="1" applyFill="1" applyBorder="1"/>
    <x:xf numFmtId="0" fontId="4" fillId="3" borderId="125" xfId="0" applyNumberFormat="1" applyFont="1" applyFill="1" applyBorder="1" applyAlignment="1">
      <x:alignment wrapText="1"/>
    </x:xf>
    <x:xf numFmtId="0" fontId="2" fillId="2" borderId="126" xfId="0" applyNumberFormat="1" applyFont="1" applyFill="1" applyBorder="1"/>
    <x:xf numFmtId="0" fontId="2" fillId="2" borderId="127" xfId="0" applyNumberFormat="1" applyFont="1" applyFill="1" applyBorder="1"/>
    <x:xf numFmtId="0" fontId="10" fillId="7" borderId="0" xfId="0" applyNumberFormat="1" applyFont="1" applyFill="1" applyBorder="1"/>
    <x:xf numFmtId="0" fontId="10" fillId="7" borderId="1" xfId="0" applyNumberFormat="1" applyFont="1" applyFill="1" applyBorder="1"/>
    <x:xf numFmtId="0" fontId="10" fillId="7" borderId="0" xfId="0" applyNumberFormat="1" applyFont="1" applyFill="1" applyBorder="1" applyAlignment="1">
      <x:alignment horizontal="right"/>
    </x:xf>
    <x:xf numFmtId="0" fontId="10" fillId="7" borderId="1" xfId="0" applyNumberFormat="1" applyFont="1" applyFill="1" applyBorder="1" applyAlignment="1">
      <x:alignment horizontal="right"/>
    </x:xf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0" fontId="4" fillId="3" borderId="4" xfId="0" applyNumberFormat="1" applyFont="1" applyFill="1" applyBorder="1"/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6" fillId="5" borderId="8" xfId="0" applyNumberFormat="1" applyFont="1" applyFill="1" applyBorder="1"/>
    <x:xf numFmtId="0" fontId="10" fillId="7" borderId="8" xfId="0" applyNumberFormat="1" applyFont="1" applyFill="1" applyBorder="1" applyAlignment="1">
      <x:alignment horizontal="right"/>
    </x:xf>
    <x:xf numFmtId="0" fontId="6" fillId="5" borderId="9" xfId="0" applyNumberFormat="1" applyFont="1" applyFill="1" applyBorder="1"/>
    <x:xf numFmtId="0" fontId="10" fillId="7" borderId="9" xfId="0" applyNumberFormat="1" applyFont="1" applyFill="1" applyBorder="1" applyAlignment="1">
      <x:alignment horizontal="right"/>
    </x:xf>
    <x:xf numFmtId="0" fontId="6" fillId="5" borderId="10" xfId="0" applyNumberFormat="1" applyFont="1" applyFill="1" applyBorder="1"/>
    <x:xf numFmtId="0" fontId="10" fillId="7" borderId="10" xfId="0" applyNumberFormat="1" applyFont="1" applyFill="1" applyBorder="1" applyAlignment="1">
      <x:alignment horizontal="right"/>
    </x:xf>
    <x:xf numFmtId="0" fontId="6" fillId="5" borderId="11" xfId="0" applyNumberFormat="1" applyFont="1" applyFill="1" applyBorder="1"/>
    <x:xf numFmtId="0" fontId="10" fillId="7" borderId="11" xfId="0" applyNumberFormat="1" applyFont="1" applyFill="1" applyBorder="1" applyAlignment="1">
      <x:alignment horizontal="right"/>
    </x:xf>
    <x:xf numFmtId="0" fontId="6" fillId="5" borderId="12" xfId="0" applyNumberFormat="1" applyFont="1" applyFill="1" applyBorder="1"/>
    <x:xf numFmtId="0" fontId="10" fillId="7" borderId="12" xfId="0" applyNumberFormat="1" applyFont="1" applyFill="1" applyBorder="1" applyAlignment="1">
      <x:alignment horizontal="right"/>
    </x:xf>
    <x:xf numFmtId="0" fontId="6" fillId="5" borderId="13" xfId="0" applyNumberFormat="1" applyFont="1" applyFill="1" applyBorder="1"/>
    <x:xf numFmtId="0" fontId="10" fillId="7" borderId="13" xfId="0" applyNumberFormat="1" applyFont="1" applyFill="1" applyBorder="1" applyAlignment="1">
      <x:alignment horizontal="right"/>
    </x:xf>
    <x:xf numFmtId="0" fontId="4" fillId="3" borderId="14" xfId="0" applyNumberFormat="1" applyFont="1" applyFill="1" applyBorder="1"/>
    <x:xf numFmtId="0" fontId="6" fillId="5" borderId="15" xfId="0" applyNumberFormat="1" applyFont="1" applyFill="1" applyBorder="1"/>
    <x:xf numFmtId="0" fontId="6" fillId="5" borderId="16" xfId="0" applyNumberFormat="1" applyFont="1" applyFill="1" applyBorder="1"/>
    <x:xf numFmtId="0" fontId="4" fillId="3" borderId="17" xfId="0" applyNumberFormat="1" applyFont="1" applyFill="1" applyBorder="1"/>
    <x:xf numFmtId="0" fontId="6" fillId="5" borderId="18" xfId="0" applyNumberFormat="1" applyFont="1" applyFill="1" applyBorder="1"/>
    <x:xf numFmtId="0" fontId="6" fillId="5" borderId="19" xfId="0" applyNumberFormat="1" applyFont="1" applyFill="1" applyBorder="1"/>
    <x:xf numFmtId="0" fontId="4" fillId="3" borderId="20" xfId="0" applyNumberFormat="1" applyFont="1" applyFill="1" applyBorder="1"/>
    <x:xf numFmtId="0" fontId="6" fillId="5" borderId="21" xfId="0" applyNumberFormat="1" applyFont="1" applyFill="1" applyBorder="1"/>
    <x:xf numFmtId="0" fontId="6" fillId="5" borderId="22" xfId="0" applyNumberFormat="1" applyFont="1" applyFill="1" applyBorder="1"/>
    <x:xf numFmtId="0" fontId="4" fillId="3" borderId="23" xfId="0" applyNumberFormat="1" applyFont="1" applyFill="1" applyBorder="1"/>
    <x:xf numFmtId="0" fontId="6" fillId="5" borderId="24" xfId="0" applyNumberFormat="1" applyFont="1" applyFill="1" applyBorder="1"/>
    <x:xf numFmtId="0" fontId="6" fillId="5" borderId="25" xfId="0" applyNumberFormat="1" applyFont="1" applyFill="1" applyBorder="1"/>
    <x:xf numFmtId="0" fontId="4" fillId="3" borderId="26" xfId="0" applyNumberFormat="1" applyFont="1" applyFill="1" applyBorder="1"/>
    <x:xf numFmtId="0" fontId="6" fillId="5" borderId="27" xfId="0" applyNumberFormat="1" applyFont="1" applyFill="1" applyBorder="1"/>
    <x:xf numFmtId="0" fontId="6" fillId="5" borderId="28" xfId="0" applyNumberFormat="1" applyFont="1" applyFill="1" applyBorder="1"/>
    <x:xf numFmtId="0" fontId="4" fillId="3" borderId="29" xfId="0" applyNumberFormat="1" applyFont="1" applyFill="1" applyBorder="1"/>
    <x:xf numFmtId="0" fontId="6" fillId="5" borderId="30" xfId="0" applyNumberFormat="1" applyFont="1" applyFill="1" applyBorder="1"/>
    <x:xf numFmtId="0" fontId="6" fillId="5" borderId="31" xfId="0" applyNumberFormat="1" applyFont="1" applyFill="1" applyBorder="1"/>
    <x:xf numFmtId="0" fontId="4" fillId="3" borderId="32" xfId="0" applyNumberFormat="1" applyFont="1" applyFill="1" applyBorder="1"/>
    <x:xf numFmtId="0" fontId="10" fillId="7" borderId="33" xfId="0" applyNumberFormat="1" applyFont="1" applyFill="1" applyBorder="1" applyAlignment="1">
      <x:alignment horizontal="right"/>
    </x:xf>
    <x:xf numFmtId="0" fontId="10" fillId="7" borderId="34" xfId="0" applyNumberFormat="1" applyFont="1" applyFill="1" applyBorder="1" applyAlignment="1">
      <x:alignment horizontal="right"/>
    </x:xf>
    <x:xf numFmtId="0" fontId="4" fillId="3" borderId="35" xfId="0" applyNumberFormat="1" applyFont="1" applyFill="1" applyBorder="1"/>
    <x:xf numFmtId="0" fontId="10" fillId="7" borderId="36" xfId="0" applyNumberFormat="1" applyFont="1" applyFill="1" applyBorder="1" applyAlignment="1">
      <x:alignment horizontal="right"/>
    </x:xf>
    <x:xf numFmtId="0" fontId="10" fillId="7" borderId="37" xfId="0" applyNumberFormat="1" applyFont="1" applyFill="1" applyBorder="1" applyAlignment="1">
      <x:alignment horizontal="right"/>
    </x:xf>
    <x:xf numFmtId="0" fontId="4" fillId="3" borderId="38" xfId="0" applyNumberFormat="1" applyFont="1" applyFill="1" applyBorder="1"/>
    <x:xf numFmtId="0" fontId="10" fillId="7" borderId="39" xfId="0" applyNumberFormat="1" applyFont="1" applyFill="1" applyBorder="1" applyAlignment="1">
      <x:alignment horizontal="right"/>
    </x:xf>
    <x:xf numFmtId="0" fontId="10" fillId="7" borderId="40" xfId="0" applyNumberFormat="1" applyFont="1" applyFill="1" applyBorder="1" applyAlignment="1">
      <x:alignment horizontal="right"/>
    </x:xf>
    <x:xf numFmtId="0" fontId="4" fillId="3" borderId="41" xfId="0" applyNumberFormat="1" applyFont="1" applyFill="1" applyBorder="1"/>
    <x:xf numFmtId="0" fontId="10" fillId="7" borderId="42" xfId="0" applyNumberFormat="1" applyFont="1" applyFill="1" applyBorder="1" applyAlignment="1">
      <x:alignment horizontal="right"/>
    </x:xf>
    <x:xf numFmtId="0" fontId="10" fillId="7" borderId="43" xfId="0" applyNumberFormat="1" applyFont="1" applyFill="1" applyBorder="1" applyAlignment="1">
      <x:alignment horizontal="right"/>
    </x:xf>
    <x:xf numFmtId="0" fontId="4" fillId="3" borderId="44" xfId="0" applyNumberFormat="1" applyFont="1" applyFill="1" applyBorder="1"/>
    <x:xf numFmtId="0" fontId="10" fillId="7" borderId="45" xfId="0" applyNumberFormat="1" applyFont="1" applyFill="1" applyBorder="1" applyAlignment="1">
      <x:alignment horizontal="right"/>
    </x:xf>
    <x:xf numFmtId="0" fontId="10" fillId="7" borderId="46" xfId="0" applyNumberFormat="1" applyFont="1" applyFill="1" applyBorder="1" applyAlignment="1">
      <x:alignment horizontal="right"/>
    </x:xf>
    <x:xf numFmtId="0" fontId="4" fillId="3" borderId="47" xfId="0" applyNumberFormat="1" applyFont="1" applyFill="1" applyBorder="1"/>
    <x:xf numFmtId="0" fontId="10" fillId="7" borderId="48" xfId="0" applyNumberFormat="1" applyFont="1" applyFill="1" applyBorder="1" applyAlignment="1">
      <x:alignment horizontal="right"/>
    </x:xf>
    <x:xf numFmtId="0" fontId="10" fillId="7" borderId="49" xfId="0" applyNumberFormat="1" applyFont="1" applyFill="1" applyBorder="1" applyAlignment="1">
      <x:alignment horizontal="right"/>
    </x:xf>
    <x:xf numFmtId="0" fontId="4" fillId="3" borderId="152" xfId="0" applyNumberFormat="1" applyFont="1" applyFill="1" applyBorder="1"/>
    <x:xf numFmtId="0" fontId="4" fillId="3" borderId="153" xfId="0" applyNumberFormat="1" applyFont="1" applyFill="1" applyBorder="1"/>
    <x:xf numFmtId="0" fontId="6" fillId="5" borderId="154" xfId="0" applyNumberFormat="1" applyFont="1" applyFill="1" applyBorder="1"/>
    <x:xf numFmtId="0" fontId="10" fillId="7" borderId="155" xfId="0" applyNumberFormat="1" applyFont="1" applyFill="1" applyBorder="1" applyAlignment="1">
      <x:alignment horizontal="right"/>
    </x:xf>
    <x:xf numFmtId="0" fontId="6" fillId="5" borderId="156" xfId="0" applyNumberFormat="1" applyFont="1" applyFill="1" applyBorder="1"/>
    <x:xf numFmtId="0" fontId="10" fillId="7" borderId="157" xfId="0" applyNumberFormat="1" applyFont="1" applyFill="1" applyBorder="1" applyAlignment="1">
      <x:alignment horizontal="right"/>
    </x:xf>
    <x:xf numFmtId="0" fontId="4" fillId="3" borderId="158" xfId="0" applyNumberFormat="1" applyFont="1" applyFill="1" applyBorder="1"/>
    <x:xf numFmtId="0" fontId="4" fillId="3" borderId="159" xfId="0" applyNumberFormat="1" applyFont="1" applyFill="1" applyBorder="1"/>
    <x:xf numFmtId="0" fontId="6" fillId="5" borderId="160" xfId="0" applyNumberFormat="1" applyFont="1" applyFill="1" applyBorder="1"/>
    <x:xf numFmtId="0" fontId="10" fillId="7" borderId="161" xfId="0" applyNumberFormat="1" applyFont="1" applyFill="1" applyBorder="1" applyAlignment="1">
      <x:alignment horizontal="right"/>
    </x:xf>
    <x:xf numFmtId="0" fontId="6" fillId="5" borderId="162" xfId="0" applyNumberFormat="1" applyFont="1" applyFill="1" applyBorder="1"/>
    <x:xf numFmtId="0" fontId="10" fillId="7" borderId="163" xfId="0" applyNumberFormat="1" applyFont="1" applyFill="1" applyBorder="1" applyAlignment="1">
      <x:alignment horizontal="right"/>
    </x:xf>
    <x:xf numFmtId="0" fontId="4" fillId="3" borderId="164" xfId="0" applyNumberFormat="1" applyFont="1" applyFill="1" applyBorder="1"/>
    <x:xf numFmtId="0" fontId="4" fillId="3" borderId="165" xfId="0" applyNumberFormat="1" applyFont="1" applyFill="1" applyBorder="1"/>
    <x:xf numFmtId="0" fontId="6" fillId="5" borderId="166" xfId="0" applyNumberFormat="1" applyFont="1" applyFill="1" applyBorder="1"/>
    <x:xf numFmtId="0" fontId="10" fillId="7" borderId="167" xfId="0" applyNumberFormat="1" applyFont="1" applyFill="1" applyBorder="1" applyAlignment="1">
      <x:alignment horizontal="right"/>
    </x:xf>
    <x:xf numFmtId="0" fontId="6" fillId="5" borderId="168" xfId="0" applyNumberFormat="1" applyFont="1" applyFill="1" applyBorder="1"/>
    <x:xf numFmtId="0" fontId="10" fillId="7" borderId="169" xfId="0" applyNumberFormat="1" applyFont="1" applyFill="1" applyBorder="1" applyAlignment="1">
      <x:alignment horizontal="right"/>
    </x:xf>
    <x:xf numFmtId="0" fontId="4" fillId="3" borderId="170" xfId="0" applyNumberFormat="1" applyFont="1" applyFill="1" applyBorder="1"/>
    <x:xf numFmtId="0" fontId="4" fillId="3" borderId="171" xfId="0" applyNumberFormat="1" applyFont="1" applyFill="1" applyBorder="1"/>
    <x:xf numFmtId="0" fontId="6" fillId="5" borderId="172" xfId="0" applyNumberFormat="1" applyFont="1" applyFill="1" applyBorder="1"/>
    <x:xf numFmtId="0" fontId="10" fillId="7" borderId="173" xfId="0" applyNumberFormat="1" applyFont="1" applyFill="1" applyBorder="1" applyAlignment="1">
      <x:alignment horizontal="right"/>
    </x:xf>
    <x:xf numFmtId="0" fontId="6" fillId="5" borderId="174" xfId="0" applyNumberFormat="1" applyFont="1" applyFill="1" applyBorder="1"/>
    <x:xf numFmtId="0" fontId="10" fillId="7" borderId="175" xfId="0" applyNumberFormat="1" applyFont="1" applyFill="1" applyBorder="1" applyAlignment="1">
      <x:alignment horizontal="right"/>
    </x:xf>
    <x:xf numFmtId="0" fontId="4" fillId="3" borderId="60" xfId="0" applyNumberFormat="1" applyFont="1" applyFill="1" applyBorder="1"/>
    <x:xf numFmtId="0" fontId="4" fillId="3" borderId="66" xfId="0" applyNumberFormat="1" applyFont="1" applyFill="1" applyBorder="1"/>
    <x:xf numFmtId="0" fontId="6" fillId="5" borderId="60" xfId="0" applyNumberFormat="1" applyFont="1" applyFill="1" applyBorder="1"/>
    <x:xf numFmtId="0" fontId="10" fillId="7" borderId="66" xfId="0" applyNumberFormat="1" applyFont="1" applyFill="1" applyBorder="1" applyAlignment="1">
      <x:alignment horizontal="right"/>
    </x:xf>
    <x:xf numFmtId="0" fontId="4" fillId="3" borderId="61" xfId="0" applyNumberFormat="1" applyFont="1" applyFill="1" applyBorder="1"/>
    <x:xf numFmtId="0" fontId="4" fillId="3" borderId="67" xfId="0" applyNumberFormat="1" applyFont="1" applyFill="1" applyBorder="1"/>
    <x:xf numFmtId="0" fontId="6" fillId="5" borderId="61" xfId="0" applyNumberFormat="1" applyFont="1" applyFill="1" applyBorder="1"/>
    <x:xf numFmtId="0" fontId="10" fillId="7" borderId="67" xfId="0" applyNumberFormat="1" applyFont="1" applyFill="1" applyBorder="1" applyAlignment="1">
      <x:alignment horizontal="right"/>
    </x:xf>
    <x:xf numFmtId="0" fontId="4" fillId="3" borderId="176" xfId="0" applyNumberFormat="1" applyFont="1" applyFill="1" applyBorder="1"/>
    <x:xf numFmtId="0" fontId="4" fillId="3" borderId="177" xfId="0" applyNumberFormat="1" applyFont="1" applyFill="1" applyBorder="1"/>
    <x:xf numFmtId="0" fontId="6" fillId="5" borderId="176" xfId="0" applyNumberFormat="1" applyFont="1" applyFill="1" applyBorder="1"/>
    <x:xf numFmtId="0" fontId="10" fillId="7" borderId="177" xfId="0" applyNumberFormat="1" applyFont="1" applyFill="1" applyBorder="1" applyAlignment="1">
      <x:alignment horizontal="right"/>
    </x:xf>
    <x:xf numFmtId="0" fontId="4" fillId="3" borderId="178" xfId="0" applyNumberFormat="1" applyFont="1" applyFill="1" applyBorder="1"/>
    <x:xf numFmtId="0" fontId="4" fillId="3" borderId="179" xfId="0" applyNumberFormat="1" applyFont="1" applyFill="1" applyBorder="1"/>
    <x:xf numFmtId="0" fontId="6" fillId="5" borderId="178" xfId="0" applyNumberFormat="1" applyFont="1" applyFill="1" applyBorder="1"/>
    <x:xf numFmtId="0" fontId="10" fillId="7" borderId="179" xfId="0" applyNumberFormat="1" applyFont="1" applyFill="1" applyBorder="1" applyAlignment="1">
      <x:alignment horizontal="right"/>
    </x:xf>
    <x:xf numFmtId="0" fontId="4" fillId="3" borderId="180" xfId="0" applyNumberFormat="1" applyFont="1" applyFill="1" applyBorder="1"/>
    <x:xf numFmtId="0" fontId="4" fillId="3" borderId="181" xfId="0" applyNumberFormat="1" applyFont="1" applyFill="1" applyBorder="1"/>
    <x:xf numFmtId="0" fontId="6" fillId="5" borderId="180" xfId="0" applyNumberFormat="1" applyFont="1" applyFill="1" applyBorder="1"/>
    <x:xf numFmtId="0" fontId="10" fillId="7" borderId="181" xfId="0" applyNumberFormat="1" applyFont="1" applyFill="1" applyBorder="1" applyAlignment="1">
      <x:alignment horizontal="right"/>
    </x:xf>
    <x:xf numFmtId="0" fontId="4" fillId="3" borderId="182" xfId="0" applyNumberFormat="1" applyFont="1" applyFill="1" applyBorder="1"/>
    <x:xf numFmtId="0" fontId="4" fillId="3" borderId="183" xfId="0" applyNumberFormat="1" applyFont="1" applyFill="1" applyBorder="1"/>
    <x:xf numFmtId="0" fontId="6" fillId="5" borderId="182" xfId="0" applyNumberFormat="1" applyFont="1" applyFill="1" applyBorder="1"/>
    <x:xf numFmtId="0" fontId="10" fillId="7" borderId="183" xfId="0" applyNumberFormat="1" applyFont="1" applyFill="1" applyBorder="1" applyAlignment="1">
      <x:alignment horizontal="right"/>
    </x:xf>
    <x:xf numFmtId="0" fontId="4" fillId="3" borderId="184" xfId="0" applyNumberFormat="1" applyFont="1" applyFill="1" applyBorder="1"/>
    <x:xf numFmtId="0" fontId="6" fillId="5" borderId="184" xfId="0" applyNumberFormat="1" applyFont="1" applyFill="1" applyBorder="1"/>
    <x:xf numFmtId="0" fontId="10" fillId="7" borderId="184" xfId="0" applyNumberFormat="1" applyFont="1" applyFill="1" applyBorder="1" applyAlignment="1">
      <x:alignment horizontal="right"/>
    </x:xf>
    <x:xf numFmtId="0" fontId="4" fillId="3" borderId="185" xfId="0" applyNumberFormat="1" applyFont="1" applyFill="1" applyBorder="1"/>
    <x:xf numFmtId="0" fontId="6" fillId="5" borderId="185" xfId="0" applyNumberFormat="1" applyFont="1" applyFill="1" applyBorder="1"/>
    <x:xf numFmtId="0" fontId="10" fillId="7" borderId="185" xfId="0" applyNumberFormat="1" applyFont="1" applyFill="1" applyBorder="1" applyAlignment="1">
      <x:alignment horizontal="right"/>
    </x:xf>
    <x:xf numFmtId="203" fontId="10" fillId="7" borderId="184" xfId="0" applyNumberFormat="1" applyFont="1" applyFill="1" applyBorder="1" applyAlignment="1">
      <x:alignment horizontal="right"/>
    </x:xf>
    <x:xf numFmtId="203" fontId="10" fillId="7" borderId="185" xfId="0" applyNumberFormat="1" applyFont="1" applyFill="1" applyBorder="1" applyAlignment="1">
      <x:alignment horizontal="right"/>
    </x:xf>
    <x:xf numFmtId="201" fontId="10" fillId="7" borderId="184" xfId="0" applyNumberFormat="1" applyFont="1" applyFill="1" applyBorder="1" applyAlignment="1">
      <x:alignment horizontal="right"/>
    </x:xf>
    <x:xf numFmtId="201" fontId="10" fillId="7" borderId="185" xfId="0" applyNumberFormat="1" applyFont="1" applyFill="1" applyBorder="1" applyAlignment="1">
      <x:alignment horizontal="right"/>
    </x:xf>
    <x:xf numFmtId="200" fontId="10" fillId="7" borderId="184" xfId="0" applyNumberFormat="1" applyFont="1" applyFill="1" applyBorder="1" applyAlignment="1">
      <x:alignment horizontal="right"/>
    </x:xf>
    <x:xf numFmtId="200" fontId="10" fillId="7" borderId="185" xfId="0" applyNumberFormat="1" applyFont="1" applyFill="1" applyBorder="1" applyAlignment="1">
      <x:alignment horizontal="right"/>
    </x:xf>
    <x:xf numFmtId="202" fontId="10" fillId="7" borderId="184" xfId="0" applyNumberFormat="1" applyFont="1" applyFill="1" applyBorder="1" applyAlignment="1">
      <x:alignment horizontal="right"/>
    </x:xf>
    <x:xf numFmtId="202" fontId="10" fillId="7" borderId="185" xfId="0" applyNumberFormat="1" applyFont="1" applyFill="1" applyBorder="1" applyAlignment="1">
      <x:alignment horizontal="right"/>
    </x:xf>
    <x:xf numFmtId="0" fontId="2" fillId="5" borderId="0" xfId="0" applyNumberFormat="1" applyFont="1" applyFill="1" applyBorder="1" applyAlignment="1">
      <x:alignment horizontal="right"/>
    </x:xf>
    <x:xf numFmtId="0" fontId="2" fillId="5" borderId="1" xfId="0" applyNumberFormat="1" applyFont="1" applyFill="1" applyBorder="1" applyAlignment="1">
      <x:alignment horizontal="right"/>
    </x:xf>
    <x:xf numFmtId="0" fontId="2" fillId="5" borderId="8" xfId="0" applyNumberFormat="1" applyFont="1" applyFill="1" applyBorder="1"/>
    <x:xf numFmtId="0" fontId="2" fillId="5" borderId="8" xfId="0" applyNumberFormat="1" applyFont="1" applyFill="1" applyBorder="1" applyAlignment="1">
      <x:alignment horizontal="right"/>
    </x:xf>
    <x:xf numFmtId="0" fontId="2" fillId="5" borderId="9" xfId="0" applyNumberFormat="1" applyFont="1" applyFill="1" applyBorder="1"/>
    <x:xf numFmtId="0" fontId="2" fillId="5" borderId="9" xfId="0" applyNumberFormat="1" applyFont="1" applyFill="1" applyBorder="1" applyAlignment="1">
      <x:alignment horizontal="right"/>
    </x:xf>
    <x:xf numFmtId="0" fontId="2" fillId="5" borderId="10" xfId="0" applyNumberFormat="1" applyFont="1" applyFill="1" applyBorder="1"/>
    <x:xf numFmtId="0" fontId="2" fillId="5" borderId="10" xfId="0" applyNumberFormat="1" applyFont="1" applyFill="1" applyBorder="1" applyAlignment="1">
      <x:alignment horizontal="right"/>
    </x:xf>
    <x:xf numFmtId="0" fontId="2" fillId="5" borderId="11" xfId="0" applyNumberFormat="1" applyFont="1" applyFill="1" applyBorder="1"/>
    <x:xf numFmtId="0" fontId="2" fillId="5" borderId="11" xfId="0" applyNumberFormat="1" applyFont="1" applyFill="1" applyBorder="1" applyAlignment="1">
      <x:alignment horizontal="right"/>
    </x:xf>
    <x:xf numFmtId="0" fontId="2" fillId="5" borderId="12" xfId="0" applyNumberFormat="1" applyFont="1" applyFill="1" applyBorder="1"/>
    <x:xf numFmtId="0" fontId="2" fillId="5" borderId="12" xfId="0" applyNumberFormat="1" applyFont="1" applyFill="1" applyBorder="1" applyAlignment="1">
      <x:alignment horizontal="right"/>
    </x:xf>
    <x:xf numFmtId="0" fontId="2" fillId="5" borderId="13" xfId="0" applyNumberFormat="1" applyFont="1" applyFill="1" applyBorder="1"/>
    <x:xf numFmtId="0" fontId="2" fillId="5" borderId="13" xfId="0" applyNumberFormat="1" applyFont="1" applyFill="1" applyBorder="1" applyAlignment="1">
      <x:alignment horizontal="right"/>
    </x:xf>
    <x:xf numFmtId="0" fontId="2" fillId="5" borderId="15" xfId="0" applyNumberFormat="1" applyFont="1" applyFill="1" applyBorder="1"/>
    <x:xf numFmtId="0" fontId="2" fillId="5" borderId="16" xfId="0" applyNumberFormat="1" applyFont="1" applyFill="1" applyBorder="1"/>
    <x:xf numFmtId="0" fontId="2" fillId="5" borderId="18" xfId="0" applyNumberFormat="1" applyFont="1" applyFill="1" applyBorder="1"/>
    <x:xf numFmtId="0" fontId="2" fillId="5" borderId="19" xfId="0" applyNumberFormat="1" applyFont="1" applyFill="1" applyBorder="1"/>
    <x:xf numFmtId="0" fontId="2" fillId="5" borderId="21" xfId="0" applyNumberFormat="1" applyFont="1" applyFill="1" applyBorder="1"/>
    <x:xf numFmtId="0" fontId="2" fillId="5" borderId="22" xfId="0" applyNumberFormat="1" applyFont="1" applyFill="1" applyBorder="1"/>
    <x:xf numFmtId="0" fontId="2" fillId="5" borderId="24" xfId="0" applyNumberFormat="1" applyFont="1" applyFill="1" applyBorder="1"/>
    <x:xf numFmtId="0" fontId="2" fillId="5" borderId="25" xfId="0" applyNumberFormat="1" applyFont="1" applyFill="1" applyBorder="1"/>
    <x:xf numFmtId="0" fontId="2" fillId="5" borderId="27" xfId="0" applyNumberFormat="1" applyFont="1" applyFill="1" applyBorder="1"/>
    <x:xf numFmtId="0" fontId="2" fillId="5" borderId="28" xfId="0" applyNumberFormat="1" applyFont="1" applyFill="1" applyBorder="1"/>
    <x:xf numFmtId="0" fontId="2" fillId="5" borderId="30" xfId="0" applyNumberFormat="1" applyFont="1" applyFill="1" applyBorder="1"/>
    <x:xf numFmtId="0" fontId="2" fillId="5" borderId="31" xfId="0" applyNumberFormat="1" applyFont="1" applyFill="1" applyBorder="1"/>
    <x:xf numFmtId="0" fontId="2" fillId="5" borderId="33" xfId="0" applyNumberFormat="1" applyFont="1" applyFill="1" applyBorder="1" applyAlignment="1">
      <x:alignment horizontal="right"/>
    </x:xf>
    <x:xf numFmtId="0" fontId="2" fillId="5" borderId="34" xfId="0" applyNumberFormat="1" applyFont="1" applyFill="1" applyBorder="1" applyAlignment="1">
      <x:alignment horizontal="right"/>
    </x:xf>
    <x:xf numFmtId="0" fontId="2" fillId="5" borderId="36" xfId="0" applyNumberFormat="1" applyFont="1" applyFill="1" applyBorder="1" applyAlignment="1">
      <x:alignment horizontal="right"/>
    </x:xf>
    <x:xf numFmtId="0" fontId="2" fillId="5" borderId="37" xfId="0" applyNumberFormat="1" applyFont="1" applyFill="1" applyBorder="1" applyAlignment="1">
      <x:alignment horizontal="right"/>
    </x:xf>
    <x:xf numFmtId="0" fontId="2" fillId="5" borderId="39" xfId="0" applyNumberFormat="1" applyFont="1" applyFill="1" applyBorder="1" applyAlignment="1">
      <x:alignment horizontal="right"/>
    </x:xf>
    <x:xf numFmtId="0" fontId="2" fillId="5" borderId="40" xfId="0" applyNumberFormat="1" applyFont="1" applyFill="1" applyBorder="1" applyAlignment="1">
      <x:alignment horizontal="right"/>
    </x:xf>
    <x:xf numFmtId="0" fontId="2" fillId="5" borderId="42" xfId="0" applyNumberFormat="1" applyFont="1" applyFill="1" applyBorder="1" applyAlignment="1">
      <x:alignment horizontal="right"/>
    </x:xf>
    <x:xf numFmtId="0" fontId="2" fillId="5" borderId="43" xfId="0" applyNumberFormat="1" applyFont="1" applyFill="1" applyBorder="1" applyAlignment="1">
      <x:alignment horizontal="right"/>
    </x:xf>
    <x:xf numFmtId="0" fontId="2" fillId="5" borderId="45" xfId="0" applyNumberFormat="1" applyFont="1" applyFill="1" applyBorder="1" applyAlignment="1">
      <x:alignment horizontal="right"/>
    </x:xf>
    <x:xf numFmtId="0" fontId="2" fillId="5" borderId="46" xfId="0" applyNumberFormat="1" applyFont="1" applyFill="1" applyBorder="1" applyAlignment="1">
      <x:alignment horizontal="right"/>
    </x:xf>
    <x:xf numFmtId="0" fontId="2" fillId="5" borderId="48" xfId="0" applyNumberFormat="1" applyFont="1" applyFill="1" applyBorder="1" applyAlignment="1">
      <x:alignment horizontal="right"/>
    </x:xf>
    <x:xf numFmtId="0" fontId="2" fillId="5" borderId="49" xfId="0" applyNumberFormat="1" applyFont="1" applyFill="1" applyBorder="1" applyAlignment="1">
      <x:alignment horizontal="right"/>
    </x:xf>
    <x:xf numFmtId="0" fontId="4" fillId="3" borderId="50" xfId="0" applyNumberFormat="1" applyFont="1" applyFill="1" applyBorder="1"/>
    <x:xf numFmtId="0" fontId="2" fillId="5" borderId="154" xfId="0" applyNumberFormat="1" applyFont="1" applyFill="1" applyBorder="1"/>
    <x:xf numFmtId="0" fontId="2" fillId="5" borderId="186" xfId="0" applyNumberFormat="1" applyFont="1" applyFill="1" applyBorder="1" applyAlignment="1">
      <x:alignment horizontal="right"/>
    </x:xf>
    <x:xf numFmtId="0" fontId="2" fillId="5" borderId="155" xfId="0" applyNumberFormat="1" applyFont="1" applyFill="1" applyBorder="1" applyAlignment="1">
      <x:alignment horizontal="right"/>
    </x:xf>
    <x:xf numFmtId="0" fontId="2" fillId="5" borderId="156" xfId="0" applyNumberFormat="1" applyFont="1" applyFill="1" applyBorder="1"/>
    <x:xf numFmtId="0" fontId="2" fillId="5" borderId="187" xfId="0" applyNumberFormat="1" applyFont="1" applyFill="1" applyBorder="1" applyAlignment="1">
      <x:alignment horizontal="right"/>
    </x:xf>
    <x:xf numFmtId="0" fontId="2" fillId="5" borderId="157" xfId="0" applyNumberFormat="1" applyFont="1" applyFill="1" applyBorder="1" applyAlignment="1">
      <x:alignment horizontal="right"/>
    </x:xf>
    <x:xf numFmtId="0" fontId="4" fillId="3" borderId="51" xfId="0" applyNumberFormat="1" applyFont="1" applyFill="1" applyBorder="1"/>
    <x:xf numFmtId="0" fontId="2" fillId="5" borderId="160" xfId="0" applyNumberFormat="1" applyFont="1" applyFill="1" applyBorder="1"/>
    <x:xf numFmtId="0" fontId="2" fillId="5" borderId="188" xfId="0" applyNumberFormat="1" applyFont="1" applyFill="1" applyBorder="1" applyAlignment="1">
      <x:alignment horizontal="right"/>
    </x:xf>
    <x:xf numFmtId="0" fontId="2" fillId="5" borderId="161" xfId="0" applyNumberFormat="1" applyFont="1" applyFill="1" applyBorder="1" applyAlignment="1">
      <x:alignment horizontal="right"/>
    </x:xf>
    <x:xf numFmtId="0" fontId="2" fillId="5" borderId="162" xfId="0" applyNumberFormat="1" applyFont="1" applyFill="1" applyBorder="1"/>
    <x:xf numFmtId="0" fontId="2" fillId="5" borderId="189" xfId="0" applyNumberFormat="1" applyFont="1" applyFill="1" applyBorder="1" applyAlignment="1">
      <x:alignment horizontal="right"/>
    </x:xf>
    <x:xf numFmtId="0" fontId="2" fillId="5" borderId="163" xfId="0" applyNumberFormat="1" applyFont="1" applyFill="1" applyBorder="1" applyAlignment="1">
      <x:alignment horizontal="right"/>
    </x:xf>
    <x:xf numFmtId="0" fontId="4" fillId="3" borderId="52" xfId="0" applyNumberFormat="1" applyFont="1" applyFill="1" applyBorder="1"/>
    <x:xf numFmtId="0" fontId="2" fillId="5" borderId="166" xfId="0" applyNumberFormat="1" applyFont="1" applyFill="1" applyBorder="1"/>
    <x:xf numFmtId="0" fontId="2" fillId="5" borderId="190" xfId="0" applyNumberFormat="1" applyFont="1" applyFill="1" applyBorder="1" applyAlignment="1">
      <x:alignment horizontal="right"/>
    </x:xf>
    <x:xf numFmtId="0" fontId="2" fillId="5" borderId="167" xfId="0" applyNumberFormat="1" applyFont="1" applyFill="1" applyBorder="1" applyAlignment="1">
      <x:alignment horizontal="right"/>
    </x:xf>
    <x:xf numFmtId="0" fontId="2" fillId="5" borderId="168" xfId="0" applyNumberFormat="1" applyFont="1" applyFill="1" applyBorder="1"/>
    <x:xf numFmtId="0" fontId="2" fillId="5" borderId="191" xfId="0" applyNumberFormat="1" applyFont="1" applyFill="1" applyBorder="1" applyAlignment="1">
      <x:alignment horizontal="right"/>
    </x:xf>
    <x:xf numFmtId="0" fontId="2" fillId="5" borderId="169" xfId="0" applyNumberFormat="1" applyFont="1" applyFill="1" applyBorder="1" applyAlignment="1">
      <x:alignment horizontal="right"/>
    </x:xf>
    <x:xf numFmtId="0" fontId="4" fillId="3" borderId="53" xfId="0" applyNumberFormat="1" applyFont="1" applyFill="1" applyBorder="1"/>
    <x:xf numFmtId="0" fontId="2" fillId="5" borderId="172" xfId="0" applyNumberFormat="1" applyFont="1" applyFill="1" applyBorder="1"/>
    <x:xf numFmtId="0" fontId="2" fillId="5" borderId="192" xfId="0" applyNumberFormat="1" applyFont="1" applyFill="1" applyBorder="1" applyAlignment="1">
      <x:alignment horizontal="right"/>
    </x:xf>
    <x:xf numFmtId="0" fontId="2" fillId="5" borderId="173" xfId="0" applyNumberFormat="1" applyFont="1" applyFill="1" applyBorder="1" applyAlignment="1">
      <x:alignment horizontal="right"/>
    </x:xf>
    <x:xf numFmtId="0" fontId="2" fillId="5" borderId="174" xfId="0" applyNumberFormat="1" applyFont="1" applyFill="1" applyBorder="1"/>
    <x:xf numFmtId="0" fontId="2" fillId="5" borderId="193" xfId="0" applyNumberFormat="1" applyFont="1" applyFill="1" applyBorder="1" applyAlignment="1">
      <x:alignment horizontal="right"/>
    </x:xf>
    <x:xf numFmtId="0" fontId="2" fillId="5" borderId="175" xfId="0" applyNumberFormat="1" applyFont="1" applyFill="1" applyBorder="1" applyAlignment="1">
      <x:alignment horizontal="right"/>
    </x:xf>
    <x:xf numFmtId="0" fontId="4" fillId="3" borderId="54" xfId="0" applyNumberFormat="1" applyFont="1" applyFill="1" applyBorder="1"/>
    <x:xf numFmtId="0" fontId="2" fillId="5" borderId="60" xfId="0" applyNumberFormat="1" applyFont="1" applyFill="1" applyBorder="1"/>
    <x:xf numFmtId="0" fontId="2" fillId="5" borderId="54" xfId="0" applyNumberFormat="1" applyFont="1" applyFill="1" applyBorder="1" applyAlignment="1">
      <x:alignment horizontal="right"/>
    </x:xf>
    <x:xf numFmtId="0" fontId="2" fillId="5" borderId="66" xfId="0" applyNumberFormat="1" applyFont="1" applyFill="1" applyBorder="1" applyAlignment="1">
      <x:alignment horizontal="right"/>
    </x:xf>
    <x:xf numFmtId="0" fontId="4" fillId="3" borderId="55" xfId="0" applyNumberFormat="1" applyFont="1" applyFill="1" applyBorder="1"/>
    <x:xf numFmtId="0" fontId="2" fillId="5" borderId="61" xfId="0" applyNumberFormat="1" applyFont="1" applyFill="1" applyBorder="1"/>
    <x:xf numFmtId="0" fontId="2" fillId="5" borderId="55" xfId="0" applyNumberFormat="1" applyFont="1" applyFill="1" applyBorder="1" applyAlignment="1">
      <x:alignment horizontal="right"/>
    </x:xf>
    <x:xf numFmtId="0" fontId="2" fillId="5" borderId="67" xfId="0" applyNumberFormat="1" applyFont="1" applyFill="1" applyBorder="1" applyAlignment="1">
      <x:alignment horizontal="right"/>
    </x:xf>
    <x:xf numFmtId="0" fontId="4" fillId="3" borderId="194" xfId="0" applyNumberFormat="1" applyFont="1" applyFill="1" applyBorder="1"/>
    <x:xf numFmtId="0" fontId="2" fillId="5" borderId="176" xfId="0" applyNumberFormat="1" applyFont="1" applyFill="1" applyBorder="1"/>
    <x:xf numFmtId="0" fontId="2" fillId="5" borderId="194" xfId="0" applyNumberFormat="1" applyFont="1" applyFill="1" applyBorder="1" applyAlignment="1">
      <x:alignment horizontal="right"/>
    </x:xf>
    <x:xf numFmtId="0" fontId="2" fillId="5" borderId="177" xfId="0" applyNumberFormat="1" applyFont="1" applyFill="1" applyBorder="1" applyAlignment="1">
      <x:alignment horizontal="right"/>
    </x:xf>
    <x:xf numFmtId="0" fontId="4" fillId="3" borderId="195" xfId="0" applyNumberFormat="1" applyFont="1" applyFill="1" applyBorder="1"/>
    <x:xf numFmtId="0" fontId="2" fillId="5" borderId="178" xfId="0" applyNumberFormat="1" applyFont="1" applyFill="1" applyBorder="1"/>
    <x:xf numFmtId="0" fontId="2" fillId="5" borderId="195" xfId="0" applyNumberFormat="1" applyFont="1" applyFill="1" applyBorder="1" applyAlignment="1">
      <x:alignment horizontal="right"/>
    </x:xf>
    <x:xf numFmtId="0" fontId="2" fillId="5" borderId="179" xfId="0" applyNumberFormat="1" applyFont="1" applyFill="1" applyBorder="1" applyAlignment="1">
      <x:alignment horizontal="right"/>
    </x:xf>
    <x:xf numFmtId="0" fontId="4" fillId="3" borderId="196" xfId="0" applyNumberFormat="1" applyFont="1" applyFill="1" applyBorder="1"/>
    <x:xf numFmtId="0" fontId="2" fillId="5" borderId="180" xfId="0" applyNumberFormat="1" applyFont="1" applyFill="1" applyBorder="1"/>
    <x:xf numFmtId="0" fontId="2" fillId="5" borderId="196" xfId="0" applyNumberFormat="1" applyFont="1" applyFill="1" applyBorder="1" applyAlignment="1">
      <x:alignment horizontal="right"/>
    </x:xf>
    <x:xf numFmtId="0" fontId="2" fillId="5" borderId="181" xfId="0" applyNumberFormat="1" applyFont="1" applyFill="1" applyBorder="1" applyAlignment="1">
      <x:alignment horizontal="right"/>
    </x:xf>
    <x:xf numFmtId="0" fontId="4" fillId="3" borderId="197" xfId="0" applyNumberFormat="1" applyFont="1" applyFill="1" applyBorder="1"/>
    <x:xf numFmtId="0" fontId="2" fillId="5" borderId="182" xfId="0" applyNumberFormat="1" applyFont="1" applyFill="1" applyBorder="1"/>
    <x:xf numFmtId="0" fontId="2" fillId="5" borderId="197" xfId="0" applyNumberFormat="1" applyFont="1" applyFill="1" applyBorder="1" applyAlignment="1">
      <x:alignment horizontal="right"/>
    </x:xf>
    <x:xf numFmtId="0" fontId="2" fillId="5" borderId="183" xfId="0" applyNumberFormat="1" applyFont="1" applyFill="1" applyBorder="1" applyAlignment="1">
      <x:alignment horizontal="right"/>
    </x:xf>
    <x:xf numFmtId="0" fontId="2" fillId="5" borderId="184" xfId="0" applyNumberFormat="1" applyFont="1" applyFill="1" applyBorder="1"/>
    <x:xf numFmtId="0" fontId="2" fillId="5" borderId="184" xfId="0" applyNumberFormat="1" applyFont="1" applyFill="1" applyBorder="1" applyAlignment="1">
      <x:alignment horizontal="right"/>
    </x:xf>
    <x:xf numFmtId="0" fontId="2" fillId="5" borderId="185" xfId="0" applyNumberFormat="1" applyFont="1" applyFill="1" applyBorder="1"/>
    <x:xf numFmtId="0" fontId="2" fillId="5" borderId="185" xfId="0" applyNumberFormat="1" applyFont="1" applyFill="1" applyBorder="1" applyAlignment="1">
      <x:alignment horizontal="right"/>
    </x:xf>
    <x:xf numFmtId="201" fontId="2" fillId="5" borderId="184" xfId="0" applyNumberFormat="1" applyFont="1" applyFill="1" applyBorder="1" applyAlignment="1">
      <x:alignment horizontal="right"/>
    </x:xf>
    <x:xf numFmtId="201" fontId="2" fillId="5" borderId="185" xfId="0" applyNumberFormat="1" applyFont="1" applyFill="1" applyBorder="1" applyAlignment="1">
      <x:alignment horizontal="right"/>
    </x:xf>
    <x:xf numFmtId="0" fontId="7" fillId="5" borderId="0" xfId="0" applyNumberFormat="1" applyFont="1" applyFill="1" applyBorder="1"/>
    <x:xf numFmtId="0" fontId="7" fillId="5" borderId="1" xfId="0" applyNumberFormat="1" applyFont="1" applyFill="1" applyBorder="1"/>
    <x:xf numFmtId="0" fontId="7" fillId="5" borderId="0" xfId="0" applyNumberFormat="1" applyFont="1" applyFill="1" applyBorder="1" applyAlignment="1">
      <x:alignment horizontal="right"/>
    </x:xf>
    <x:xf numFmtId="0" fontId="7" fillId="5" borderId="1" xfId="0" applyNumberFormat="1" applyFont="1" applyFill="1" applyBorder="1" applyAlignment="1">
      <x:alignment horizontal="right"/>
    </x:xf>
    <x:xf numFmtId="0" fontId="7" fillId="5" borderId="8" xfId="0" applyNumberFormat="1" applyFont="1" applyFill="1" applyBorder="1" applyAlignment="1">
      <x:alignment horizontal="right"/>
    </x:xf>
    <x:xf numFmtId="0" fontId="7" fillId="5" borderId="9" xfId="0" applyNumberFormat="1" applyFont="1" applyFill="1" applyBorder="1" applyAlignment="1">
      <x:alignment horizontal="right"/>
    </x:xf>
    <x:xf numFmtId="0" fontId="7" fillId="5" borderId="10" xfId="0" applyNumberFormat="1" applyFont="1" applyFill="1" applyBorder="1" applyAlignment="1">
      <x:alignment horizontal="right"/>
    </x:xf>
    <x:xf numFmtId="0" fontId="7" fillId="5" borderId="11" xfId="0" applyNumberFormat="1" applyFont="1" applyFill="1" applyBorder="1" applyAlignment="1">
      <x:alignment horizontal="right"/>
    </x:xf>
    <x:xf numFmtId="0" fontId="7" fillId="5" borderId="12" xfId="0" applyNumberFormat="1" applyFont="1" applyFill="1" applyBorder="1" applyAlignment="1">
      <x:alignment horizontal="right"/>
    </x:xf>
    <x:xf numFmtId="0" fontId="7" fillId="5" borderId="13" xfId="0" applyNumberFormat="1" applyFont="1" applyFill="1" applyBorder="1" applyAlignment="1">
      <x:alignment horizontal="right"/>
    </x:xf>
    <x:xf numFmtId="0" fontId="2" fillId="5" borderId="33" xfId="0" applyNumberFormat="1" applyFont="1" applyFill="1" applyBorder="1"/>
    <x:xf numFmtId="0" fontId="2" fillId="5" borderId="34" xfId="0" applyNumberFormat="1" applyFont="1" applyFill="1" applyBorder="1"/>
    <x:xf numFmtId="0" fontId="2" fillId="5" borderId="36" xfId="0" applyNumberFormat="1" applyFont="1" applyFill="1" applyBorder="1"/>
    <x:xf numFmtId="0" fontId="2" fillId="5" borderId="37" xfId="0" applyNumberFormat="1" applyFont="1" applyFill="1" applyBorder="1"/>
    <x:xf numFmtId="0" fontId="2" fillId="5" borderId="39" xfId="0" applyNumberFormat="1" applyFont="1" applyFill="1" applyBorder="1"/>
    <x:xf numFmtId="0" fontId="2" fillId="5" borderId="40" xfId="0" applyNumberFormat="1" applyFont="1" applyFill="1" applyBorder="1"/>
    <x:xf numFmtId="0" fontId="2" fillId="5" borderId="42" xfId="0" applyNumberFormat="1" applyFont="1" applyFill="1" applyBorder="1"/>
    <x:xf numFmtId="0" fontId="2" fillId="5" borderId="43" xfId="0" applyNumberFormat="1" applyFont="1" applyFill="1" applyBorder="1"/>
    <x:xf numFmtId="0" fontId="2" fillId="5" borderId="45" xfId="0" applyNumberFormat="1" applyFont="1" applyFill="1" applyBorder="1"/>
    <x:xf numFmtId="0" fontId="2" fillId="5" borderId="46" xfId="0" applyNumberFormat="1" applyFont="1" applyFill="1" applyBorder="1"/>
    <x:xf numFmtId="0" fontId="2" fillId="5" borderId="48" xfId="0" applyNumberFormat="1" applyFont="1" applyFill="1" applyBorder="1"/>
    <x:xf numFmtId="0" fontId="2" fillId="5" borderId="49" xfId="0" applyNumberFormat="1" applyFont="1" applyFill="1" applyBorder="1"/>
    <x:xf numFmtId="0" fontId="7" fillId="5" borderId="186" xfId="0" applyNumberFormat="1" applyFont="1" applyFill="1" applyBorder="1" applyAlignment="1">
      <x:alignment horizontal="right"/>
    </x:xf>
    <x:xf numFmtId="0" fontId="2" fillId="5" borderId="155" xfId="0" applyNumberFormat="1" applyFont="1" applyFill="1" applyBorder="1"/>
    <x:xf numFmtId="0" fontId="7" fillId="5" borderId="187" xfId="0" applyNumberFormat="1" applyFont="1" applyFill="1" applyBorder="1" applyAlignment="1">
      <x:alignment horizontal="right"/>
    </x:xf>
    <x:xf numFmtId="0" fontId="2" fillId="5" borderId="157" xfId="0" applyNumberFormat="1" applyFont="1" applyFill="1" applyBorder="1"/>
    <x:xf numFmtId="0" fontId="7" fillId="5" borderId="188" xfId="0" applyNumberFormat="1" applyFont="1" applyFill="1" applyBorder="1" applyAlignment="1">
      <x:alignment horizontal="right"/>
    </x:xf>
    <x:xf numFmtId="0" fontId="2" fillId="5" borderId="161" xfId="0" applyNumberFormat="1" applyFont="1" applyFill="1" applyBorder="1"/>
    <x:xf numFmtId="0" fontId="7" fillId="5" borderId="189" xfId="0" applyNumberFormat="1" applyFont="1" applyFill="1" applyBorder="1" applyAlignment="1">
      <x:alignment horizontal="right"/>
    </x:xf>
    <x:xf numFmtId="0" fontId="2" fillId="5" borderId="163" xfId="0" applyNumberFormat="1" applyFont="1" applyFill="1" applyBorder="1"/>
    <x:xf numFmtId="0" fontId="7" fillId="5" borderId="190" xfId="0" applyNumberFormat="1" applyFont="1" applyFill="1" applyBorder="1" applyAlignment="1">
      <x:alignment horizontal="right"/>
    </x:xf>
    <x:xf numFmtId="0" fontId="2" fillId="5" borderId="167" xfId="0" applyNumberFormat="1" applyFont="1" applyFill="1" applyBorder="1"/>
    <x:xf numFmtId="0" fontId="7" fillId="5" borderId="191" xfId="0" applyNumberFormat="1" applyFont="1" applyFill="1" applyBorder="1" applyAlignment="1">
      <x:alignment horizontal="right"/>
    </x:xf>
    <x:xf numFmtId="0" fontId="2" fillId="5" borderId="169" xfId="0" applyNumberFormat="1" applyFont="1" applyFill="1" applyBorder="1"/>
    <x:xf numFmtId="0" fontId="7" fillId="5" borderId="192" xfId="0" applyNumberFormat="1" applyFont="1" applyFill="1" applyBorder="1" applyAlignment="1">
      <x:alignment horizontal="right"/>
    </x:xf>
    <x:xf numFmtId="0" fontId="2" fillId="5" borderId="173" xfId="0" applyNumberFormat="1" applyFont="1" applyFill="1" applyBorder="1"/>
    <x:xf numFmtId="0" fontId="7" fillId="5" borderId="193" xfId="0" applyNumberFormat="1" applyFont="1" applyFill="1" applyBorder="1" applyAlignment="1">
      <x:alignment horizontal="right"/>
    </x:xf>
    <x:xf numFmtId="0" fontId="2" fillId="5" borderId="175" xfId="0" applyNumberFormat="1" applyFont="1" applyFill="1" applyBorder="1"/>
    <x:xf numFmtId="0" fontId="7" fillId="5" borderId="54" xfId="0" applyNumberFormat="1" applyFont="1" applyFill="1" applyBorder="1" applyAlignment="1">
      <x:alignment horizontal="right"/>
    </x:xf>
    <x:xf numFmtId="0" fontId="2" fillId="5" borderId="66" xfId="0" applyNumberFormat="1" applyFont="1" applyFill="1" applyBorder="1"/>
    <x:xf numFmtId="0" fontId="7" fillId="5" borderId="55" xfId="0" applyNumberFormat="1" applyFont="1" applyFill="1" applyBorder="1" applyAlignment="1">
      <x:alignment horizontal="right"/>
    </x:xf>
    <x:xf numFmtId="0" fontId="2" fillId="5" borderId="67" xfId="0" applyNumberFormat="1" applyFont="1" applyFill="1" applyBorder="1"/>
    <x:xf numFmtId="0" fontId="7" fillId="5" borderId="194" xfId="0" applyNumberFormat="1" applyFont="1" applyFill="1" applyBorder="1" applyAlignment="1">
      <x:alignment horizontal="right"/>
    </x:xf>
    <x:xf numFmtId="0" fontId="2" fillId="5" borderId="177" xfId="0" applyNumberFormat="1" applyFont="1" applyFill="1" applyBorder="1"/>
    <x:xf numFmtId="0" fontId="7" fillId="5" borderId="195" xfId="0" applyNumberFormat="1" applyFont="1" applyFill="1" applyBorder="1" applyAlignment="1">
      <x:alignment horizontal="right"/>
    </x:xf>
    <x:xf numFmtId="0" fontId="2" fillId="5" borderId="179" xfId="0" applyNumberFormat="1" applyFont="1" applyFill="1" applyBorder="1"/>
    <x:xf numFmtId="0" fontId="7" fillId="5" borderId="196" xfId="0" applyNumberFormat="1" applyFont="1" applyFill="1" applyBorder="1" applyAlignment="1">
      <x:alignment horizontal="right"/>
    </x:xf>
    <x:xf numFmtId="0" fontId="2" fillId="5" borderId="181" xfId="0" applyNumberFormat="1" applyFont="1" applyFill="1" applyBorder="1"/>
    <x:xf numFmtId="0" fontId="7" fillId="5" borderId="197" xfId="0" applyNumberFormat="1" applyFont="1" applyFill="1" applyBorder="1" applyAlignment="1">
      <x:alignment horizontal="right"/>
    </x:xf>
    <x:xf numFmtId="0" fontId="2" fillId="5" borderId="183" xfId="0" applyNumberFormat="1" applyFont="1" applyFill="1" applyBorder="1"/>
    <x:xf numFmtId="0" fontId="7" fillId="5" borderId="184" xfId="0" applyNumberFormat="1" applyFont="1" applyFill="1" applyBorder="1" applyAlignment="1">
      <x:alignment horizontal="right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16ad3b84fa4a5e" /><Relationship Type="http://schemas.openxmlformats.org/officeDocument/2006/relationships/theme" Target="/xl/theme/theme1.xml" Id="Ra6a9be30f1e24f8e" /><Relationship Type="http://schemas.openxmlformats.org/officeDocument/2006/relationships/sharedStrings" Target="/xl/sharedStrings.xml" Id="R5bf78e02eddc4018" /><Relationship Type="http://schemas.openxmlformats.org/officeDocument/2006/relationships/worksheet" Target="/xl/worksheets/sheet1.xml" Id="R7c0e32a1f6f7412f" /><Relationship Type="http://schemas.openxmlformats.org/officeDocument/2006/relationships/worksheet" Target="/xl/worksheets/sheet2.xml" Id="Raf076d63881e4d00" /><Relationship Type="http://schemas.openxmlformats.org/officeDocument/2006/relationships/worksheet" Target="/xl/worksheets/sheet3.xml" Id="Rdf0d1b0a854f42ca" /><Relationship Type="http://schemas.openxmlformats.org/officeDocument/2006/relationships/worksheet" Target="/xl/worksheets/sheet4.xml" Id="Rbfefd482c6b74a9e" /><Relationship Type="http://schemas.openxmlformats.org/officeDocument/2006/relationships/worksheet" Target="/xl/worksheets/sheet5.xml" Id="Rcbfdb41963cd424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671a7d56b604ac9" /></Relationships>
</file>

<file path=xl/drawings/charts/chart1.xml><?xml version="1.0" encoding="utf-8"?>
<c:chartSpace xmlns:c="http://schemas.openxmlformats.org/drawingml/2006/chart">
  <c:lang val="en-US"/>
  <c:roundedCorners val="0"/>
  <c:chart>
    <c:spPr>
      <a:solidFill xmlns:a="http://schemas.openxmlformats.org/drawingml/2006/main">
        <a:srgbClr val="EEF4F8"/>
      </a:solidFill>
      <a:ln xmlns:a="http://schemas.openxmlformats.org/drawingml/2006/main">
        <a:solidFill>
          <a:srgbClr val="C4D0DD"/>
        </a:solidFill>
      </a:ln>
    </c:spPr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1">
                <a:solidFill>
                  <a:srgbClr val="111827"/>
                </a:solidFill>
              </a:rPr>
              <a:t>Weekly sales vs EBITDA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 b="1">
              <a:solidFill>
                <a:srgbClr val="111827"/>
              </a:solidFill>
            </a:defRPr>
          </a:pPr>
        </a:p>
      </c:txPr>
    </c:title>
    <c:autoTitleDeleted val="0"/>
    <c:view3D/>
    <c:plotArea>
      <c:layout/>
      <c:barChart>
        <c:barDir val="col"/>
        <c:grouping val="clustered"/>
        <c:varyColors val="0"/>
        <c:ser>
          <c:idx val="0"/>
          <c:order val="0"/>
          <c:tx>
            <c:v>Net sales</c:v>
          </c:tx>
          <c:spPr>
            <a:solidFill xmlns:a="http://schemas.openxmlformats.org/drawingml/2006/main">
              <a:srgbClr val="0F766E"/>
            </a:solidFill>
            <a:ln xmlns:a="http://schemas.openxmlformats.org/drawingml/2006/main">
              <a:solidFill>
                <a:srgbClr val="0F766E"/>
              </a:solidFill>
            </a:ln>
          </c:spPr>
          <c:cat>
            <c:strRef>
              <c:f>'Dashboard'!$A$17:$A$29</c:f>
              <c:strCache>
                <c:ptCount val="0"/>
              </c:strCache>
            </c:strRef>
          </c:cat>
          <c:val>
            <c:numRef>
              <c:f>'Dashboard'!$B$17:$B$29</c:f>
              <c:numCache>
                <c:formatCode>"AED" #,##0;[Red]-"AED" #,##0</c:formatCode>
                <c:ptCount val="0"/>
              </c:numCache>
            </c:numRef>
          </c:val>
        </c:ser>
        <c:ser>
          <c:idx val="1"/>
          <c:order val="1"/>
          <c:tx>
            <c:v>Store EBITDA</c:v>
          </c:tx>
          <c:spPr>
            <a:solidFill xmlns:a="http://schemas.openxmlformats.org/drawingml/2006/main">
              <a:srgbClr val="F59E0B"/>
            </a:solidFill>
            <a:ln xmlns:a="http://schemas.openxmlformats.org/drawingml/2006/main">
              <a:solidFill>
                <a:srgbClr val="F59E0B"/>
              </a:solidFill>
            </a:ln>
          </c:spPr>
          <c:cat>
            <c:strRef>
              <c:f>'Dashboard'!$A$17:$A$29</c:f>
              <c:strCache>
                <c:ptCount val="0"/>
              </c:strCache>
            </c:strRef>
          </c:cat>
          <c:val>
            <c:numRef>
              <c:f>'Dashboard'!$C$17:$C$29</c:f>
              <c:numCache>
                <c:formatCode>"AED" #,##0;[Red]-"AED" 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  <c:spPr>
        <a:solidFill xmlns:a="http://schemas.openxmlformats.org/drawingml/2006/main">
          <a:srgbClr val="FFFFFF"/>
        </a:solidFill>
        <a:ln xmlns:a="http://schemas.openxmlformats.org/drawingml/2006/main">
          <a:solidFill>
            <a:srgbClr val="D9E2EC"/>
          </a:solidFill>
        </a:ln>
      </c:spPr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solidFill>
                <a:srgbClr val="52606D"/>
              </a:solidFill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4</xdr:col>
      <xdr:colOff>0</xdr:colOff>
      <xdr:row>5</xdr:row>
      <xdr:rowOff>0</xdr:rowOff>
    </xdr:from>
    <xdr:ext cx="6667500" cy="3048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671a7d56b604ac9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a61d7bbde682446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0.709999084472656" hidden="0" customWidth="1"/>
    <x:col min="3" max="3" width="19.290000915527344" hidden="0" customWidth="1"/>
    <x:col min="4" max="4" width="19.290000915527344" hidden="0" customWidth="1"/>
    <x:col min="5" max="5" width="19.290000915527344" hidden="0" customWidth="1"/>
    <x:col min="6" max="6" width="19.290000915527344" hidden="0" customWidth="1"/>
    <x:col min="7" max="7" width="19.290000915527344" hidden="0" customWidth="1"/>
    <x:col min="8" max="8" width="19.290000915527344" hidden="0" customWidth="1"/>
    <x:col min="9" max="9" width="19.290000915527344" hidden="0" customWidth="1"/>
    <x:col min="10" max="10" width="19.290000915527344" hidden="0" customWidth="1"/>
  </x:cols>
  <x:sheetData>
    <x:row r="1" ht="25.5" customHeight="1">
      <x:c r="A1" s="56" t="str">
        <x:v>Weekly Flash Report - UAE Audit-Ready Workbook</x:v>
      </x:c>
      <x:c r="B1" s="32"/>
      <x:c r="C1" s="32"/>
      <x:c r="D1" s="32"/>
      <x:c r="E1" s="32"/>
      <x:c r="F1" s="32"/>
      <x:c r="G1" s="32"/>
      <x:c r="H1" s="32"/>
      <x:c r="I1" s="80"/>
      <x:c r="J1" s="6"/>
      <x:c r="K1" s="6"/>
    </x:row>
    <x:row r="2" ht="25.5" customHeight="1">
      <x:c r="A2" s="57"/>
      <x:c r="B2" s="18"/>
      <x:c r="C2" s="18"/>
      <x:c r="D2" s="18"/>
      <x:c r="E2" s="18"/>
      <x:c r="F2" s="18"/>
      <x:c r="G2" s="18"/>
      <x:c r="H2" s="18"/>
      <x:c r="I2" s="81"/>
      <x:c r="J2" s="6"/>
      <x:c r="K2" s="6"/>
    </x:row>
    <x:row r="3" ht="19.5" customHeight="1">
      <x:c r="A3" s="58" t="str">
        <x:v>A working weekly trading file with KPI roll-up, channel mix logic, EBITDA bridge, and review checks. Best used for founder, GM, and finance huddles.</x:v>
      </x:c>
      <x:c r="B3" s="26"/>
      <x:c r="C3" s="26"/>
      <x:c r="D3" s="26"/>
      <x:c r="E3" s="26"/>
      <x:c r="F3" s="26"/>
      <x:c r="G3" s="26"/>
      <x:c r="H3" s="26"/>
      <x:c r="I3" s="82"/>
      <x:c r="J3" s="6"/>
      <x:c r="K3" s="6"/>
    </x:row>
    <x:row r="4" ht="19.5" customHeight="1">
      <x:c r="A4" s="59"/>
      <x:c r="B4" s="38"/>
      <x:c r="C4" s="38"/>
      <x:c r="D4" s="38"/>
      <x:c r="E4" s="38"/>
      <x:c r="F4" s="38"/>
      <x:c r="G4" s="38"/>
      <x:c r="H4" s="38"/>
      <x:c r="I4" s="83"/>
      <x:c r="J4" s="6"/>
      <x:c r="K4" s="6"/>
    </x:row>
    <x:row r="5">
      <x:c r="A5" s="6"/>
      <x:c r="B5" s="6"/>
      <x:c r="C5" s="6"/>
      <x:c r="D5" s="6"/>
      <x:c r="E5" s="6"/>
      <x:c r="F5" s="6"/>
      <x:c r="G5" s="6"/>
      <x:c r="H5" s="6"/>
      <x:c r="I5" s="6"/>
      <x:c r="J5" s="6"/>
      <x:c r="K5" s="6"/>
    </x:row>
    <x:row r="6">
      <x:c r="A6" s="108" t="str">
        <x:v>How to use this workbook</x:v>
      </x:c>
      <x:c r="B6" s="102" t="str"/>
      <x:c r="C6" s="102" t="str"/>
      <x:c r="D6" s="114" t="str"/>
      <x:c r="E6" s="102"/>
      <x:c r="F6" s="102"/>
      <x:c r="G6" s="102"/>
      <x:c r="H6" s="102"/>
      <x:c r="I6" s="114"/>
      <x:c r="J6" s="6"/>
      <x:c r="K6" s="6"/>
    </x:row>
    <x:row r="7" ht="19.5" customHeight="1">
      <x:c r="A7" s="174" t="str">
        <x:v>1. Use one row per completed week in Weekly_Input. Starter values are examples only and should be replaced with branch actuals.</x:v>
      </x:c>
      <x:c r="B7" s="175" t="str">
        <x:v>Replace with legal entity and location</x:v>
      </x:c>
      <x:c r="C7" s="180"/>
      <x:c r="D7" s="180"/>
      <x:c r="E7" s="180"/>
      <x:c r="F7" s="180"/>
      <x:c r="G7" s="180"/>
      <x:c r="H7" s="180"/>
      <x:c r="I7" s="181"/>
      <x:c r="J7" s="6"/>
      <x:c r="K7" s="6"/>
    </x:row>
    <x:row r="8" ht="19.5" customHeight="1">
      <x:c r="A8" s="174" t="str">
        <x:v>2. Capture sales by channel, covers, and direct cost lines consistently each week so trend analysis remains clean.</x:v>
      </x:c>
      <x:c r="B8" s="175" t="str"/>
      <x:c r="C8" s="180"/>
      <x:c r="D8" s="180"/>
      <x:c r="E8" s="180"/>
      <x:c r="F8" s="180"/>
      <x:c r="G8" s="180"/>
      <x:c r="H8" s="180"/>
      <x:c r="I8" s="181"/>
      <x:c r="J8" s="6"/>
      <x:c r="K8" s="6"/>
    </x:row>
    <x:row r="9" ht="19.5" customHeight="1">
      <x:c r="A9" s="174" t="str">
        <x:v>3. Review Dashboard and Checks before management meetings. Retain source support for each week in your finance drive.</x:v>
      </x:c>
      <x:c r="B9" s="175" t="str"/>
      <x:c r="C9" s="180"/>
      <x:c r="D9" s="180"/>
      <x:c r="E9" s="180"/>
      <x:c r="F9" s="180"/>
      <x:c r="G9" s="180"/>
      <x:c r="H9" s="180"/>
      <x:c r="I9" s="181"/>
      <x:c r="J9" s="6"/>
      <x:c r="K9" s="6"/>
    </x:row>
    <x:row r="10">
      <x:c r="A10" s="168" t="str">
        <x:v>Reporting basis</x:v>
      </x:c>
      <x:c r="B10" s="169" t="str">
        <x:v>Weekly figures should be entered on a net-of-VAT basis and tied to source system extracts.</x:v>
      </x:c>
      <x:c r="C10" s="6"/>
      <x:c r="D10" s="6"/>
      <x:c r="E10" s="6"/>
      <x:c r="F10" s="6"/>
      <x:c r="G10" s="6"/>
      <x:c r="H10" s="6"/>
      <x:c r="I10" s="6"/>
      <x:c r="J10" s="6"/>
      <x:c r="K10" s="6"/>
    </x:row>
    <x:row r="11">
      <x:c r="A11" s="168" t="str">
        <x:v>Version</x:v>
      </x:c>
      <x:c r="B11" s="169" t="str">
        <x:v>v1.0</x:v>
      </x:c>
      <x:c r="C11" s="6"/>
      <x:c r="D11" s="6"/>
      <x:c r="E11" s="6"/>
      <x:c r="F11" s="6"/>
      <x:c r="G11" s="6"/>
      <x:c r="H11" s="6"/>
      <x:c r="I11" s="6"/>
      <x:c r="J11" s="6"/>
      <x:c r="K11" s="6"/>
    </x:row>
    <x:row r="12">
      <x:c r="A12" s="168" t="str">
        <x:v>Last updated</x:v>
      </x:c>
      <x:c r="B12" s="169" t="str">
        <x:v>2026-04-19</x:v>
      </x:c>
      <x:c r="C12" s="6"/>
      <x:c r="D12" s="6"/>
      <x:c r="E12" s="6"/>
      <x:c r="F12" s="6"/>
      <x:c r="G12" s="6"/>
      <x:c r="H12" s="6"/>
      <x:c r="I12" s="6"/>
      <x:c r="J12" s="6"/>
      <x:c r="K12" s="6"/>
    </x:row>
    <x:row r="13">
      <x:c r="A13" s="6"/>
      <x:c r="B13" s="6"/>
      <x:c r="C13" s="6"/>
      <x:c r="D13" s="6"/>
      <x:c r="E13" s="6"/>
      <x:c r="F13" s="6"/>
      <x:c r="G13" s="6"/>
      <x:c r="H13" s="6"/>
      <x:c r="I13" s="6"/>
      <x:c r="J13" s="6"/>
      <x:c r="K13" s="6"/>
    </x:row>
    <x:row r="14">
      <x:c r="A14" s="6"/>
      <x:c r="B14" s="6"/>
      <x:c r="C14" s="6"/>
      <x:c r="D14" s="6"/>
      <x:c r="E14" s="6"/>
      <x:c r="F14" s="6"/>
      <x:c r="G14" s="6"/>
      <x:c r="H14" s="6"/>
      <x:c r="I14" s="6"/>
      <x:c r="J14" s="6"/>
      <x:c r="K14" s="6"/>
    </x:row>
    <x:row r="15">
      <x:c r="A15" s="296" t="str">
        <x:v>Input cell</x:v>
      </x:c>
      <x:c r="B15" s="175" t="str">
        <x:v>Starter assumption or user entry</x:v>
      </x:c>
      <x:c r="C15" s="6"/>
      <x:c r="D15" s="6"/>
      <x:c r="E15" s="6"/>
      <x:c r="F15" s="6"/>
      <x:c r="G15" s="6"/>
      <x:c r="H15" s="6"/>
      <x:c r="I15" s="6"/>
      <x:c r="J15" s="6"/>
      <x:c r="K15" s="6"/>
    </x:row>
    <x:row r="16">
      <x:c r="A16" s="297" t="str">
        <x:v>Formula cell</x:v>
      </x:c>
      <x:c r="B16" s="175" t="str">
        <x:v>Calculated output - review logic before editing</x:v>
      </x:c>
      <x:c r="C16" s="6"/>
      <x:c r="D16" s="6"/>
      <x:c r="E16" s="6"/>
      <x:c r="F16" s="6"/>
      <x:c r="G16" s="6"/>
      <x:c r="H16" s="6"/>
      <x:c r="I16" s="6"/>
      <x:c r="J16" s="6"/>
      <x:c r="K16" s="6"/>
    </x:row>
    <x:row r="17">
      <x:c r="A17" s="298" t="str">
        <x:v>Control sheet</x:v>
      </x:c>
      <x:c r="B17" s="175" t="str">
        <x:v>Document assumptions, support files, and reviewer sign-off</x:v>
      </x:c>
      <x:c r="C17" s="6"/>
      <x:c r="D17" s="6"/>
      <x:c r="E17" s="6"/>
      <x:c r="F17" s="6"/>
      <x:c r="G17" s="6"/>
      <x:c r="H17" s="6"/>
      <x:c r="I17" s="6"/>
      <x:c r="J17" s="6"/>
      <x:c r="K17" s="6"/>
    </x:row>
    <x:row r="18">
      <x:c r="A18" s="6"/>
      <x:c r="B18" s="6"/>
      <x:c r="C18" s="6"/>
      <x:c r="D18" s="6"/>
      <x:c r="E18" s="6"/>
      <x:c r="F18" s="6"/>
      <x:c r="G18" s="6"/>
      <x:c r="H18" s="6"/>
      <x:c r="I18" s="6"/>
      <x:c r="J18" s="6"/>
      <x:c r="K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  <x:c r="J19" s="6"/>
      <x:c r="K19" s="6"/>
    </x:row>
    <x:row r="20">
      <x:c r="A20" s="6"/>
      <x:c r="B20" s="6"/>
      <x:c r="C20" s="6"/>
      <x:c r="D20" s="6"/>
      <x:c r="E20" s="6"/>
      <x:c r="F20" s="6"/>
      <x:c r="G20" s="6"/>
      <x:c r="H20" s="6"/>
      <x:c r="I20" s="6"/>
      <x:c r="J20" s="6"/>
      <x:c r="K20" s="6"/>
    </x:row>
    <x:row r="21">
      <x:c r="A21" s="108" t="str">
        <x:v>Audit support checklist</x:v>
      </x:c>
      <x:c r="B21" s="102"/>
      <x:c r="C21" s="102"/>
      <x:c r="D21" s="102"/>
      <x:c r="E21" s="102"/>
      <x:c r="F21" s="102"/>
      <x:c r="G21" s="102"/>
      <x:c r="H21" s="102"/>
      <x:c r="I21" s="114"/>
      <x:c r="J21" s="6"/>
      <x:c r="K21" s="6"/>
    </x:row>
    <x:row r="22" ht="19.5" customHeight="1">
      <x:c r="A22" s="211" t="str">
        <x:v>1. File sales extract, POS covers report, payroll support, and delivery settlement by week.</x:v>
      </x:c>
      <x:c r="B22" s="211"/>
      <x:c r="C22" s="211"/>
      <x:c r="D22" s="211"/>
      <x:c r="E22" s="211"/>
      <x:c r="F22" s="211"/>
      <x:c r="G22" s="211"/>
      <x:c r="H22" s="211"/>
      <x:c r="I22" s="211"/>
      <x:c r="J22" s="6"/>
      <x:c r="K22" s="6"/>
    </x:row>
    <x:row r="23" ht="19.5" customHeight="1">
      <x:c r="A23" s="211" t="str">
        <x:v>2. Confirm weekly sales mix equals net sales and resolve mismatches before circulation.</x:v>
      </x:c>
      <x:c r="B23" s="211"/>
      <x:c r="C23" s="211"/>
      <x:c r="D23" s="211"/>
      <x:c r="E23" s="211"/>
      <x:c r="F23" s="211"/>
      <x:c r="G23" s="211"/>
      <x:c r="H23" s="211"/>
      <x:c r="I23" s="211"/>
      <x:c r="J23" s="6"/>
      <x:c r="K23" s="6"/>
    </x:row>
    <x:row r="24" ht="19.5" customHeight="1">
      <x:c r="A24" s="211" t="str">
        <x:v>3. Document any allocations used for rent, utilities, and central costs so weekly EBITDA is not misleading.</x:v>
      </x:c>
      <x:c r="B24" s="211"/>
      <x:c r="C24" s="211"/>
      <x:c r="D24" s="211"/>
      <x:c r="E24" s="211"/>
      <x:c r="F24" s="211"/>
      <x:c r="G24" s="211"/>
      <x:c r="H24" s="211"/>
      <x:c r="I24" s="211"/>
      <x:c r="J24" s="6"/>
      <x:c r="K24" s="6"/>
    </x:row>
    <x:row r="25" ht="19.5" customHeight="1">
      <x:c r="A25" s="211" t="str">
        <x:v>4. Retain reviewer comments or adjustments in the notes column rather than overwriting history.</x:v>
      </x:c>
      <x:c r="B25" s="211"/>
      <x:c r="C25" s="211"/>
      <x:c r="D25" s="211"/>
      <x:c r="E25" s="211"/>
      <x:c r="F25" s="211"/>
      <x:c r="G25" s="211"/>
      <x:c r="H25" s="211"/>
      <x:c r="I25" s="211"/>
      <x:c r="J25" s="6"/>
      <x:c r="K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</x:row>
  </x:sheetData>
  <x:mergeCells>
    <x:mergeCell ref="A1:I2"/>
    <x:mergeCell ref="A3:I4"/>
    <x:mergeCell ref="A6:D6"/>
    <x:mergeCell ref="A6:I6"/>
    <x:mergeCell ref="A7:I7"/>
    <x:mergeCell ref="A8:I8"/>
    <x:mergeCell ref="A9:I9"/>
    <x:mergeCell ref="A21:I21"/>
    <x:mergeCell ref="A22:I22"/>
    <x:mergeCell ref="A23:I23"/>
    <x:mergeCell ref="A24:I24"/>
    <x:mergeCell ref="A25:I2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6.43000030517578" hidden="0" customWidth="1"/>
    <x:col min="3" max="3" width="19.290000915527344" hidden="0" customWidth="1"/>
    <x:col min="4" max="4" width="19.290000915527344" hidden="0" customWidth="1"/>
    <x:col min="5" max="5" width="19.290000915527344" hidden="0" customWidth="1"/>
    <x:col min="6" max="6" width="19.290000915527344" hidden="0" customWidth="1"/>
    <x:col min="7" max="7" width="19.290000915527344" hidden="0" customWidth="1"/>
    <x:col min="8" max="8" width="19.290000915527344" hidden="0" customWidth="1"/>
  </x:cols>
  <x:sheetData>
    <x:row r="1" ht="25.5" customHeight="1">
      <x:c r="A1" s="56" t="str">
        <x:v>Setup</x:v>
      </x:c>
      <x:c r="B1" s="32"/>
      <x:c r="C1" s="32"/>
      <x:c r="D1" s="32"/>
      <x:c r="E1" s="32"/>
      <x:c r="F1" s="32"/>
      <x:c r="G1" s="32"/>
      <x:c r="H1" s="80"/>
      <x:c r="I1" s="6"/>
      <x:c r="J1" s="6"/>
    </x:row>
    <x:row r="2" ht="25.5" customHeight="1">
      <x:c r="A2" s="57"/>
      <x:c r="B2" s="18"/>
      <x:c r="C2" s="18"/>
      <x:c r="D2" s="18"/>
      <x:c r="E2" s="18"/>
      <x:c r="F2" s="18"/>
      <x:c r="G2" s="18"/>
      <x:c r="H2" s="81"/>
      <x:c r="I2" s="6"/>
      <x:c r="J2" s="6"/>
    </x:row>
    <x:row r="3" ht="19.5" customHeight="1">
      <x:c r="A3" s="58" t="str">
        <x:v>Identify the branch, reporting owner, and weekly review targets.</x:v>
      </x:c>
      <x:c r="B3" s="26"/>
      <x:c r="C3" s="26"/>
      <x:c r="D3" s="26"/>
      <x:c r="E3" s="26"/>
      <x:c r="F3" s="26"/>
      <x:c r="G3" s="26"/>
      <x:c r="H3" s="82"/>
      <x:c r="I3" s="6"/>
      <x:c r="J3" s="6"/>
    </x:row>
    <x:row r="4" ht="19.5" customHeight="1">
      <x:c r="A4" s="59"/>
      <x:c r="B4" s="38"/>
      <x:c r="C4" s="38"/>
      <x:c r="D4" s="38"/>
      <x:c r="E4" s="38"/>
      <x:c r="F4" s="38"/>
      <x:c r="G4" s="38"/>
      <x:c r="H4" s="83"/>
      <x:c r="I4" s="6"/>
      <x:c r="J4" s="6"/>
    </x:row>
    <x:row r="5">
      <x:c r="A5" s="6"/>
      <x:c r="B5" s="6"/>
      <x:c r="C5" s="6"/>
      <x:c r="D5" s="6"/>
      <x:c r="E5" s="6"/>
      <x:c r="F5" s="6"/>
      <x:c r="G5" s="6"/>
      <x:c r="H5" s="6"/>
      <x:c r="I5" s="6"/>
      <x:c r="J5" s="6"/>
    </x:row>
    <x:row r="6">
      <x:c r="A6" s="332" t="str">
        <x:v>Entity / branch</x:v>
      </x:c>
      <x:c r="B6" s="352" t="str">
        <x:v>Sample Restaurant LLC - Marina</x:v>
      </x:c>
      <x:c r="C6" s="6"/>
      <x:c r="D6" s="6"/>
      <x:c r="E6" s="6"/>
      <x:c r="F6" s="6"/>
      <x:c r="G6" s="6"/>
      <x:c r="H6" s="6"/>
      <x:c r="I6" s="6"/>
      <x:c r="J6" s="6"/>
    </x:row>
    <x:row r="7">
      <x:c r="A7" s="227" t="str">
        <x:v>Primary reviewer</x:v>
      </x:c>
      <x:c r="B7" s="353" t="str"/>
      <x:c r="C7" s="6"/>
      <x:c r="D7" s="6"/>
      <x:c r="E7" s="6"/>
      <x:c r="F7" s="6"/>
      <x:c r="G7" s="6"/>
      <x:c r="H7" s="6"/>
      <x:c r="I7" s="6"/>
      <x:c r="J7" s="6"/>
    </x:row>
    <x:row r="8">
      <x:c r="A8" s="227" t="str">
        <x:v>Weekly cadence</x:v>
      </x:c>
      <x:c r="B8" s="353" t="str">
        <x:v>Every Monday</x:v>
      </x:c>
      <x:c r="C8" s="6"/>
      <x:c r="D8" s="6"/>
      <x:c r="E8" s="6"/>
      <x:c r="F8" s="6"/>
      <x:c r="G8" s="6"/>
      <x:c r="H8" s="6"/>
      <x:c r="I8" s="6"/>
      <x:c r="J8" s="6"/>
    </x:row>
    <x:row r="9">
      <x:c r="A9" s="227" t="str">
        <x:v>Target labor %</x:v>
      </x:c>
      <x:c r="B9" s="354" t="n">
        <x:v>0.24</x:v>
      </x:c>
      <x:c r="C9" s="6"/>
      <x:c r="D9" s="6"/>
      <x:c r="E9" s="6"/>
      <x:c r="F9" s="6"/>
      <x:c r="G9" s="6"/>
      <x:c r="H9" s="6"/>
      <x:c r="I9" s="6"/>
      <x:c r="J9" s="6"/>
    </x:row>
    <x:row r="10">
      <x:c r="A10" s="227" t="str">
        <x:v>Target food cost %</x:v>
      </x:c>
      <x:c r="B10" s="354" t="n">
        <x:v>0.31</x:v>
      </x:c>
      <x:c r="C10" s="6"/>
      <x:c r="D10" s="6"/>
      <x:c r="E10" s="6"/>
      <x:c r="F10" s="6"/>
      <x:c r="G10" s="6"/>
      <x:c r="H10" s="6"/>
      <x:c r="I10" s="6"/>
      <x:c r="J10" s="6"/>
    </x:row>
    <x:row r="11">
      <x:c r="A11" s="227" t="str">
        <x:v>Target store EBITDA %</x:v>
      </x:c>
      <x:c r="B11" s="354" t="n">
        <x:v>0.14</x:v>
      </x:c>
      <x:c r="C11" s="6"/>
      <x:c r="D11" s="6"/>
      <x:c r="E11" s="6"/>
      <x:c r="F11" s="6"/>
      <x:c r="G11" s="6"/>
      <x:c r="H11" s="6"/>
      <x:c r="I11" s="6"/>
      <x:c r="J11" s="6"/>
    </x:row>
    <x:row r="12">
      <x:c r="A12" s="333" t="str">
        <x:v>Prepared by</x:v>
      </x:c>
      <x:c r="B12" s="355" t="str"/>
      <x:c r="C12" s="6"/>
      <x:c r="D12" s="6"/>
      <x:c r="E12" s="6"/>
      <x:c r="F12" s="6"/>
      <x:c r="G12" s="6"/>
      <x:c r="H12" s="6"/>
      <x:c r="I12" s="6"/>
      <x:c r="J12" s="6"/>
    </x:row>
    <x:row r="13">
      <x:c r="A13" s="6"/>
      <x:c r="B13" s="6"/>
      <x:c r="C13" s="6"/>
      <x:c r="D13" s="6"/>
      <x:c r="E13" s="6"/>
      <x:c r="F13" s="6"/>
      <x:c r="G13" s="6"/>
      <x:c r="H13" s="6"/>
      <x:c r="I13" s="6"/>
      <x:c r="J13" s="6"/>
    </x:row>
    <x:row r="14">
      <x:c r="A14" s="6"/>
      <x:c r="B14" s="6"/>
      <x:c r="C14" s="6"/>
      <x:c r="D14" s="6"/>
      <x:c r="E14" s="6"/>
      <x:c r="F14" s="6"/>
      <x:c r="G14" s="6"/>
      <x:c r="H14" s="6"/>
      <x:c r="I14" s="6"/>
      <x:c r="J14" s="6"/>
    </x:row>
    <x:row r="15">
      <x:c r="A15" s="6"/>
      <x:c r="B15" s="6"/>
      <x:c r="C15" s="6"/>
      <x:c r="D15" s="6"/>
      <x:c r="E15" s="6"/>
      <x:c r="F15" s="6"/>
      <x:c r="G15" s="6"/>
      <x:c r="H15" s="6"/>
      <x:c r="I15" s="6"/>
      <x:c r="J15" s="6"/>
    </x:row>
    <x:row r="16">
      <x:c r="A16" s="6"/>
      <x:c r="B16" s="6"/>
      <x:c r="C16" s="6"/>
      <x:c r="D16" s="6"/>
      <x:c r="E16" s="6"/>
      <x:c r="F16" s="6"/>
      <x:c r="G16" s="6"/>
      <x:c r="H16" s="6"/>
      <x:c r="I16" s="6"/>
      <x:c r="J16" s="6"/>
    </x:row>
    <x:row r="17">
      <x:c r="A17" s="6"/>
      <x:c r="B17" s="6"/>
      <x:c r="C17" s="6"/>
      <x:c r="D17" s="6"/>
      <x:c r="E17" s="6"/>
      <x:c r="F17" s="6"/>
      <x:c r="G17" s="6"/>
      <x:c r="H17" s="6"/>
      <x:c r="I17" s="6"/>
      <x:c r="J17" s="6"/>
    </x:row>
    <x:row r="18">
      <x:c r="A18" s="6"/>
      <x:c r="B18" s="6"/>
      <x:c r="C18" s="6"/>
      <x:c r="D18" s="6"/>
      <x:c r="E18" s="6"/>
      <x:c r="F18" s="6"/>
      <x:c r="G18" s="6"/>
      <x:c r="H18" s="6"/>
      <x:c r="I18" s="6"/>
      <x:c r="J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  <x:c r="J19" s="6"/>
    </x:row>
    <x:row r="20">
      <x:c r="A20" s="6"/>
      <x:c r="B20" s="6"/>
      <x:c r="C20" s="6"/>
      <x:c r="D20" s="6"/>
      <x:c r="E20" s="6"/>
      <x:c r="F20" s="6"/>
      <x:c r="G20" s="6"/>
      <x:c r="H20" s="6"/>
      <x:c r="I20" s="6"/>
      <x:c r="J20" s="6"/>
    </x:row>
    <x:row r="21">
      <x:c r="A21" s="6"/>
      <x:c r="B21" s="6"/>
      <x:c r="C21" s="6"/>
      <x:c r="D21" s="6"/>
      <x:c r="E21" s="6"/>
      <x:c r="F21" s="6"/>
      <x:c r="G21" s="6"/>
      <x:c r="H21" s="6"/>
      <x:c r="I21" s="6"/>
      <x:c r="J21" s="6"/>
    </x:row>
    <x:row r="22">
      <x:c r="A22" s="6"/>
      <x:c r="B22" s="6"/>
      <x:c r="C22" s="6"/>
      <x:c r="D22" s="6"/>
      <x:c r="E22" s="6"/>
      <x:c r="F22" s="6"/>
      <x:c r="G22" s="6"/>
      <x:c r="H22" s="6"/>
      <x:c r="I22" s="6"/>
      <x:c r="J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  <x:c r="J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  <x:c r="J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  <x:c r="J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  <x:c r="J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  <x:c r="J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  <x:c r="J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</x:row>
  </x:sheetData>
  <x:mergeCells>
    <x:mergeCell ref="A1:H2"/>
    <x:mergeCell ref="A3:H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20.709999084472656" hidden="0" customWidth="1"/>
    <x:col min="4" max="4" width="15" hidden="0" customWidth="1"/>
    <x:col min="5" max="5" width="14.289999961853027" hidden="0" customWidth="1"/>
    <x:col min="6" max="6" width="14.289999961853027" hidden="0" customWidth="1"/>
    <x:col min="7" max="7" width="14.289999961853027" hidden="0" customWidth="1"/>
    <x:col min="8" max="8" width="11.430000305175781" hidden="0" customWidth="1"/>
    <x:col min="9" max="9" width="11.430000305175781" hidden="0" customWidth="1"/>
    <x:col min="10" max="10" width="12.140000343322754" hidden="0" customWidth="1"/>
    <x:col min="11" max="11" width="12.859999656677246" hidden="0" customWidth="1"/>
    <x:col min="12" max="12" width="12.859999656677246" hidden="0" customWidth="1"/>
    <x:col min="13" max="13" width="12.859999656677246" hidden="0" customWidth="1"/>
    <x:col min="14" max="14" width="12.859999656677246" hidden="0" customWidth="1"/>
    <x:col min="15" max="15" width="12.859999656677246" hidden="0" customWidth="1"/>
    <x:col min="16" max="16" width="12.859999656677246" hidden="0" customWidth="1"/>
    <x:col min="17" max="17" width="12.859999656677246" hidden="0" customWidth="1"/>
    <x:col min="18" max="18" width="12.859999656677246" hidden="0" customWidth="1"/>
    <x:col min="19" max="19" width="12.859999656677246" hidden="0" customWidth="1"/>
    <x:col min="20" max="20" width="13.569999694824219" hidden="0" customWidth="1"/>
    <x:col min="21" max="21" width="13.569999694824219" hidden="0" customWidth="1"/>
    <x:col min="22" max="22" width="12.140000343322754" hidden="0" customWidth="1"/>
    <x:col min="23" max="23" width="12.140000343322754" hidden="0" customWidth="1"/>
    <x:col min="24" max="24" width="12.140000343322754" hidden="0" customWidth="1"/>
  </x:cols>
  <x:sheetData>
    <x:row r="1" ht="25.5" customHeight="1">
      <x:c r="A1" s="56" t="str">
        <x:v>Weekly_Input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  <x:c r="S1" s="32"/>
      <x:c r="T1" s="32"/>
      <x:c r="U1" s="32"/>
      <x:c r="V1" s="32"/>
      <x:c r="W1" s="32"/>
      <x:c r="X1" s="80"/>
      <x:c r="Y1" s="6"/>
      <x:c r="Z1" s="6"/>
    </x:row>
    <x:row r="2" ht="25.5" customHeight="1">
      <x:c r="A2" s="57"/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  <x:c r="O2" s="18"/>
      <x:c r="P2" s="18"/>
      <x:c r="Q2" s="18"/>
      <x:c r="R2" s="18"/>
      <x:c r="S2" s="18"/>
      <x:c r="T2" s="18"/>
      <x:c r="U2" s="18"/>
      <x:c r="V2" s="18"/>
      <x:c r="W2" s="18"/>
      <x:c r="X2" s="81"/>
      <x:c r="Y2" s="6"/>
      <x:c r="Z2" s="6"/>
    </x:row>
    <x:row r="3" ht="19.5" customHeight="1">
      <x:c r="A3" s="58" t="str">
        <x:v>Enter one row per completed week. Orange cells are starter assumptions / user inputs. Formula cells calculate KPI outputs and checks.</x:v>
      </x:c>
      <x:c r="B3" s="26"/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26"/>
      <x:c r="O3" s="26"/>
      <x:c r="P3" s="26"/>
      <x:c r="Q3" s="26"/>
      <x:c r="R3" s="26"/>
      <x:c r="S3" s="26"/>
      <x:c r="T3" s="26"/>
      <x:c r="U3" s="26"/>
      <x:c r="V3" s="26"/>
      <x:c r="W3" s="26"/>
      <x:c r="X3" s="82"/>
      <x:c r="Y3" s="6"/>
      <x:c r="Z3" s="6"/>
    </x:row>
    <x:row r="4" ht="19.5" customHeight="1">
      <x:c r="A4" s="59"/>
      <x:c r="B4" s="38"/>
      <x:c r="C4" s="38"/>
      <x:c r="D4" s="38"/>
      <x:c r="E4" s="38"/>
      <x:c r="F4" s="38"/>
      <x:c r="G4" s="38"/>
      <x:c r="H4" s="38"/>
      <x:c r="I4" s="38"/>
      <x:c r="J4" s="38"/>
      <x:c r="K4" s="38"/>
      <x:c r="L4" s="38"/>
      <x:c r="M4" s="38"/>
      <x:c r="N4" s="38"/>
      <x:c r="O4" s="38"/>
      <x:c r="P4" s="38"/>
      <x:c r="Q4" s="38"/>
      <x:c r="R4" s="38"/>
      <x:c r="S4" s="38"/>
      <x:c r="T4" s="38"/>
      <x:c r="U4" s="38"/>
      <x:c r="V4" s="38"/>
      <x:c r="W4" s="38"/>
      <x:c r="X4" s="83"/>
      <x:c r="Y4" s="6"/>
      <x:c r="Z4" s="6"/>
    </x:row>
    <x:row r="5">
      <x:c r="A5" s="426" t="str">
        <x:v>Week start</x:v>
      </x:c>
      <x:c r="B5" s="376" t="str">
        <x:v>Week end</x:v>
      </x:c>
      <x:c r="C5" s="376" t="str">
        <x:v>Location</x:v>
      </x:c>
      <x:c r="D5" s="376" t="str">
        <x:v>Net sales</x:v>
      </x:c>
      <x:c r="E5" s="376" t="str">
        <x:v>Dine-in sales</x:v>
      </x:c>
      <x:c r="F5" s="376" t="str">
        <x:v>Takeaway sales</x:v>
      </x:c>
      <x:c r="G5" s="376" t="str">
        <x:v>Delivery sales</x:v>
      </x:c>
      <x:c r="H5" s="376" t="str">
        <x:v>Covers</x:v>
      </x:c>
      <x:c r="I5" s="376" t="str">
        <x:v>Delivery orders</x:v>
      </x:c>
      <x:c r="J5" s="376" t="str">
        <x:v>APC</x:v>
      </x:c>
      <x:c r="K5" s="376" t="str">
        <x:v>Delivery AOV</x:v>
      </x:c>
      <x:c r="L5" s="376" t="str">
        <x:v>Food cost AED</x:v>
      </x:c>
      <x:c r="M5" s="376" t="str">
        <x:v>Labor AED</x:v>
      </x:c>
      <x:c r="N5" s="376" t="str">
        <x:v>Rent alloc AED</x:v>
      </x:c>
      <x:c r="O5" s="376" t="str">
        <x:v>Utilities AED</x:v>
      </x:c>
      <x:c r="P5" s="376" t="str">
        <x:v>Packaging AED</x:v>
      </x:c>
      <x:c r="Q5" s="376" t="str">
        <x:v>Aggregator fees AED</x:v>
      </x:c>
      <x:c r="R5" s="376" t="str">
        <x:v>Promotions AED</x:v>
      </x:c>
      <x:c r="S5" s="376" t="str">
        <x:v>Other opex AED</x:v>
      </x:c>
      <x:c r="T5" s="376" t="str">
        <x:v>Total cost AED</x:v>
      </x:c>
      <x:c r="U5" s="376" t="str">
        <x:v>Store EBITDA AED</x:v>
      </x:c>
      <x:c r="V5" s="376" t="str">
        <x:v>Store EBITDA %</x:v>
      </x:c>
      <x:c r="W5" s="376" t="str">
        <x:v>Delivery mix %</x:v>
      </x:c>
      <x:c r="X5" s="444" t="str">
        <x:v>Sales mix check</x:v>
      </x:c>
      <x:c r="Y5" s="6"/>
      <x:c r="Z5" s="6"/>
    </x:row>
    <x:row r="6">
      <x:c r="A6" s="427" t="n">
        <x:v>46027</x:v>
      </x:c>
      <x:c r="B6" s="370" t="n">
        <x:f>IF(A6="","",A6+6)</x:f>
        <x:v>46033</x:v>
      </x:c>
      <x:c r="C6" s="122" t="str">
        <x:v>Sample Branch</x:v>
      </x:c>
      <x:c r="D6" s="362" t="n">
        <x:v>239000</x:v>
      </x:c>
      <x:c r="E6" s="362" t="n">
        <x:v>145000</x:v>
      </x:c>
      <x:c r="F6" s="362" t="n">
        <x:v>42000</x:v>
      </x:c>
      <x:c r="G6" s="362" t="n">
        <x:v>52000</x:v>
      </x:c>
      <x:c r="H6" s="122" t="n">
        <x:v>3800</x:v>
      </x:c>
      <x:c r="I6" s="122" t="n">
        <x:v>1800</x:v>
      </x:c>
      <x:c r="J6" s="364" t="n">
        <x:f>IF(H6=0,"",D6/H6)</x:f>
        <x:v>62.89473684210526</x:v>
      </x:c>
      <x:c r="K6" s="364" t="n">
        <x:f>IF(I6=0,"",G6/I6)</x:f>
        <x:v>28.88888888888889</x:v>
      </x:c>
      <x:c r="L6" s="362" t="n">
        <x:v>72000</x:v>
      </x:c>
      <x:c r="M6" s="362" t="n">
        <x:v>51000</x:v>
      </x:c>
      <x:c r="N6" s="362" t="n">
        <x:v>16000</x:v>
      </x:c>
      <x:c r="O6" s="362" t="n">
        <x:v>6200</x:v>
      </x:c>
      <x:c r="P6" s="362" t="n">
        <x:v>5200</x:v>
      </x:c>
      <x:c r="Q6" s="362" t="n">
        <x:v>14500</x:v>
      </x:c>
      <x:c r="R6" s="362" t="n">
        <x:v>6400</x:v>
      </x:c>
      <x:c r="S6" s="362" t="n">
        <x:v>2800</x:v>
      </x:c>
      <x:c r="T6" s="366" t="n">
        <x:f>SUM(L6:S6)</x:f>
        <x:v>174100</x:v>
      </x:c>
      <x:c r="U6" s="366" t="n">
        <x:f>D6-T6</x:f>
        <x:v>64900</x:v>
      </x:c>
      <x:c r="V6" s="368" t="n">
        <x:f>IF(D6=0,"",U6/D6)</x:f>
        <x:v>0.2715481171548117</x:v>
      </x:c>
      <x:c r="W6" s="368" t="n">
        <x:f>IF(D6=0,"",G6/D6)</x:f>
        <x:v>0.2175732217573222</x:v>
      </x:c>
      <x:c r="X6" s="445" t="str">
        <x:f>IF(ABS((E6+F6+G6)-D6)&lt;1,"PASS","REVIEW")</x:f>
        <x:v>PASS</x:v>
      </x:c>
      <x:c r="Y6" s="6"/>
      <x:c r="Z6" s="6"/>
    </x:row>
    <x:row r="7">
      <x:c r="A7" s="427" t="n">
        <x:v>46034</x:v>
      </x:c>
      <x:c r="B7" s="370" t="n">
        <x:f>IF(A7="","",A7+6)</x:f>
        <x:v>46040</x:v>
      </x:c>
      <x:c r="C7" s="122" t="str">
        <x:v>Sample Branch</x:v>
      </x:c>
      <x:c r="D7" s="362" t="n">
        <x:v>246500</x:v>
      </x:c>
      <x:c r="E7" s="362" t="n">
        <x:v>149500</x:v>
      </x:c>
      <x:c r="F7" s="362" t="n">
        <x:v>43200</x:v>
      </x:c>
      <x:c r="G7" s="362" t="n">
        <x:v>53800</x:v>
      </x:c>
      <x:c r="H7" s="122" t="n">
        <x:v>3890</x:v>
      </x:c>
      <x:c r="I7" s="122" t="n">
        <x:v>1830</x:v>
      </x:c>
      <x:c r="J7" s="364" t="n">
        <x:f>IF(H7=0,"",D7/H7)</x:f>
        <x:v>63.36760925449872</x:v>
      </x:c>
      <x:c r="K7" s="364" t="n">
        <x:f>IF(I7=0,"",G7/I7)</x:f>
        <x:v>29.398907103825138</x:v>
      </x:c>
      <x:c r="L7" s="362" t="n">
        <x:v>74200</x:v>
      </x:c>
      <x:c r="M7" s="362" t="n">
        <x:v>52500</x:v>
      </x:c>
      <x:c r="N7" s="362" t="n">
        <x:v>16000</x:v>
      </x:c>
      <x:c r="O7" s="362" t="n">
        <x:v>6300</x:v>
      </x:c>
      <x:c r="P7" s="362" t="n">
        <x:v>5320</x:v>
      </x:c>
      <x:c r="Q7" s="362" t="n">
        <x:v>14860</x:v>
      </x:c>
      <x:c r="R7" s="362" t="n">
        <x:v>6550</x:v>
      </x:c>
      <x:c r="S7" s="362" t="n">
        <x:v>2800</x:v>
      </x:c>
      <x:c r="T7" s="366" t="n">
        <x:f>SUM(L7:S7)</x:f>
        <x:v>178530</x:v>
      </x:c>
      <x:c r="U7" s="366" t="n">
        <x:f>D7-T7</x:f>
        <x:v>67970</x:v>
      </x:c>
      <x:c r="V7" s="368" t="n">
        <x:f>IF(D7=0,"",U7/D7)</x:f>
        <x:v>0.27574036511156186</x:v>
      </x:c>
      <x:c r="W7" s="368" t="n">
        <x:f>IF(D7=0,"",G7/D7)</x:f>
        <x:v>0.21825557809330629</x:v>
      </x:c>
      <x:c r="X7" s="445" t="str">
        <x:f>IF(ABS((E7+F7+G7)-D7)&lt;1,"PASS","REVIEW")</x:f>
        <x:v>PASS</x:v>
      </x:c>
      <x:c r="Y7" s="6"/>
      <x:c r="Z7" s="6"/>
    </x:row>
    <x:row r="8">
      <x:c r="A8" s="427" t="n">
        <x:v>46041</x:v>
      </x:c>
      <x:c r="B8" s="370" t="n">
        <x:f>IF(A8="","",A8+6)</x:f>
        <x:v>46047</x:v>
      </x:c>
      <x:c r="C8" s="122" t="str">
        <x:v>Sample Branch</x:v>
      </x:c>
      <x:c r="D8" s="362" t="n">
        <x:v>254000</x:v>
      </x:c>
      <x:c r="E8" s="362" t="n">
        <x:v>154000</x:v>
      </x:c>
      <x:c r="F8" s="362" t="n">
        <x:v>44400</x:v>
      </x:c>
      <x:c r="G8" s="362" t="n">
        <x:v>55600</x:v>
      </x:c>
      <x:c r="H8" s="122" t="n">
        <x:v>3980</x:v>
      </x:c>
      <x:c r="I8" s="122" t="n">
        <x:v>1860</x:v>
      </x:c>
      <x:c r="J8" s="364" t="n">
        <x:f>IF(H8=0,"",D8/H8)</x:f>
        <x:v>63.81909547738694</x:v>
      </x:c>
      <x:c r="K8" s="364" t="n">
        <x:f>IF(I8=0,"",G8/I8)</x:f>
        <x:v>29.892473118279568</x:v>
      </x:c>
      <x:c r="L8" s="362" t="n">
        <x:v>76400</x:v>
      </x:c>
      <x:c r="M8" s="362" t="n">
        <x:v>54000</x:v>
      </x:c>
      <x:c r="N8" s="362" t="n">
        <x:v>16000</x:v>
      </x:c>
      <x:c r="O8" s="362" t="n">
        <x:v>6400</x:v>
      </x:c>
      <x:c r="P8" s="362" t="n">
        <x:v>5440</x:v>
      </x:c>
      <x:c r="Q8" s="362" t="n">
        <x:v>15220</x:v>
      </x:c>
      <x:c r="R8" s="362" t="n">
        <x:v>6700</x:v>
      </x:c>
      <x:c r="S8" s="362" t="n">
        <x:v>2800</x:v>
      </x:c>
      <x:c r="T8" s="366" t="n">
        <x:f>SUM(L8:S8)</x:f>
        <x:v>182960</x:v>
      </x:c>
      <x:c r="U8" s="366" t="n">
        <x:f>D8-T8</x:f>
        <x:v>71040</x:v>
      </x:c>
      <x:c r="V8" s="368" t="n">
        <x:f>IF(D8=0,"",U8/D8)</x:f>
        <x:v>0.2796850393700787</x:v>
      </x:c>
      <x:c r="W8" s="368" t="n">
        <x:f>IF(D8=0,"",G8/D8)</x:f>
        <x:v>0.2188976377952756</x:v>
      </x:c>
      <x:c r="X8" s="445" t="str">
        <x:f>IF(ABS((E8+F8+G8)-D8)&lt;1,"PASS","REVIEW")</x:f>
        <x:v>PASS</x:v>
      </x:c>
      <x:c r="Y8" s="6"/>
      <x:c r="Z8" s="6"/>
    </x:row>
    <x:row r="9">
      <x:c r="A9" s="427" t="n">
        <x:v>46048</x:v>
      </x:c>
      <x:c r="B9" s="370" t="n">
        <x:f>IF(A9="","",A9+6)</x:f>
        <x:v>46054</x:v>
      </x:c>
      <x:c r="C9" s="122" t="str">
        <x:v>Sample Branch</x:v>
      </x:c>
      <x:c r="D9" s="362" t="n">
        <x:v>261500</x:v>
      </x:c>
      <x:c r="E9" s="362" t="n">
        <x:v>158500</x:v>
      </x:c>
      <x:c r="F9" s="362" t="n">
        <x:v>45600</x:v>
      </x:c>
      <x:c r="G9" s="362" t="n">
        <x:v>57400</x:v>
      </x:c>
      <x:c r="H9" s="122" t="n">
        <x:v>4070</x:v>
      </x:c>
      <x:c r="I9" s="122" t="n">
        <x:v>1890</x:v>
      </x:c>
      <x:c r="J9" s="364" t="n">
        <x:f>IF(H9=0,"",D9/H9)</x:f>
        <x:v>64.25061425061425</x:v>
      </x:c>
      <x:c r="K9" s="364" t="n">
        <x:f>IF(I9=0,"",G9/I9)</x:f>
        <x:v>30.37037037037037</x:v>
      </x:c>
      <x:c r="L9" s="362" t="n">
        <x:v>78600</x:v>
      </x:c>
      <x:c r="M9" s="362" t="n">
        <x:v>55500</x:v>
      </x:c>
      <x:c r="N9" s="362" t="n">
        <x:v>16000</x:v>
      </x:c>
      <x:c r="O9" s="362" t="n">
        <x:v>6500</x:v>
      </x:c>
      <x:c r="P9" s="362" t="n">
        <x:v>5560</x:v>
      </x:c>
      <x:c r="Q9" s="362" t="n">
        <x:v>15580</x:v>
      </x:c>
      <x:c r="R9" s="362" t="n">
        <x:v>6850</x:v>
      </x:c>
      <x:c r="S9" s="362" t="n">
        <x:v>2800</x:v>
      </x:c>
      <x:c r="T9" s="366" t="n">
        <x:f>SUM(L9:S9)</x:f>
        <x:v>187390</x:v>
      </x:c>
      <x:c r="U9" s="366" t="n">
        <x:f>D9-T9</x:f>
        <x:v>74110</x:v>
      </x:c>
      <x:c r="V9" s="368" t="n">
        <x:f>IF(D9=0,"",U9/D9)</x:f>
        <x:v>0.2834034416826004</x:v>
      </x:c>
      <x:c r="W9" s="368" t="n">
        <x:f>IF(D9=0,"",G9/D9)</x:f>
        <x:v>0.21950286806883365</x:v>
      </x:c>
      <x:c r="X9" s="445" t="str">
        <x:f>IF(ABS((E9+F9+G9)-D9)&lt;1,"PASS","REVIEW")</x:f>
        <x:v>PASS</x:v>
      </x:c>
      <x:c r="Y9" s="6"/>
      <x:c r="Z9" s="6"/>
    </x:row>
    <x:row r="10">
      <x:c r="A10" s="427" t="n">
        <x:v>46055</x:v>
      </x:c>
      <x:c r="B10" s="370" t="n">
        <x:f>IF(A10="","",A10+6)</x:f>
        <x:v>46061</x:v>
      </x:c>
      <x:c r="C10" s="122" t="str">
        <x:v>Sample Branch</x:v>
      </x:c>
      <x:c r="D10" s="362" t="n">
        <x:v>269000</x:v>
      </x:c>
      <x:c r="E10" s="362" t="n">
        <x:v>163000</x:v>
      </x:c>
      <x:c r="F10" s="362" t="n">
        <x:v>46800</x:v>
      </x:c>
      <x:c r="G10" s="362" t="n">
        <x:v>59200</x:v>
      </x:c>
      <x:c r="H10" s="122" t="n">
        <x:v>4160</x:v>
      </x:c>
      <x:c r="I10" s="122" t="n">
        <x:v>1920</x:v>
      </x:c>
      <x:c r="J10" s="364" t="n">
        <x:f>IF(H10=0,"",D10/H10)</x:f>
        <x:v>64.66346153846153</x:v>
      </x:c>
      <x:c r="K10" s="364" t="n">
        <x:f>IF(I10=0,"",G10/I10)</x:f>
        <x:v>30.833333333333332</x:v>
      </x:c>
      <x:c r="L10" s="362" t="n">
        <x:v>80800</x:v>
      </x:c>
      <x:c r="M10" s="362" t="n">
        <x:v>57000</x:v>
      </x:c>
      <x:c r="N10" s="362" t="n">
        <x:v>16000</x:v>
      </x:c>
      <x:c r="O10" s="362" t="n">
        <x:v>6600</x:v>
      </x:c>
      <x:c r="P10" s="362" t="n">
        <x:v>5680</x:v>
      </x:c>
      <x:c r="Q10" s="362" t="n">
        <x:v>15940</x:v>
      </x:c>
      <x:c r="R10" s="362" t="n">
        <x:v>7000</x:v>
      </x:c>
      <x:c r="S10" s="362" t="n">
        <x:v>2800</x:v>
      </x:c>
      <x:c r="T10" s="366" t="n">
        <x:f>SUM(L10:S10)</x:f>
        <x:v>191820</x:v>
      </x:c>
      <x:c r="U10" s="366" t="n">
        <x:f>D10-T10</x:f>
        <x:v>77180</x:v>
      </x:c>
      <x:c r="V10" s="368" t="n">
        <x:f>IF(D10=0,"",U10/D10)</x:f>
        <x:v>0.28691449814126396</x:v>
      </x:c>
      <x:c r="W10" s="368" t="n">
        <x:f>IF(D10=0,"",G10/D10)</x:f>
        <x:v>0.2200743494423792</x:v>
      </x:c>
      <x:c r="X10" s="445" t="str">
        <x:f>IF(ABS((E10+F10+G10)-D10)&lt;1,"PASS","REVIEW")</x:f>
        <x:v>PASS</x:v>
      </x:c>
      <x:c r="Y10" s="6"/>
      <x:c r="Z10" s="6"/>
    </x:row>
    <x:row r="11">
      <x:c r="A11" s="427" t="n">
        <x:v>46062</x:v>
      </x:c>
      <x:c r="B11" s="370" t="n">
        <x:f>IF(A11="","",A11+6)</x:f>
        <x:v>46068</x:v>
      </x:c>
      <x:c r="C11" s="122" t="str">
        <x:v>Sample Branch</x:v>
      </x:c>
      <x:c r="D11" s="362" t="n">
        <x:v>276500</x:v>
      </x:c>
      <x:c r="E11" s="362" t="n">
        <x:v>167500</x:v>
      </x:c>
      <x:c r="F11" s="362" t="n">
        <x:v>48000</x:v>
      </x:c>
      <x:c r="G11" s="362" t="n">
        <x:v>61000</x:v>
      </x:c>
      <x:c r="H11" s="122" t="n">
        <x:v>4250</x:v>
      </x:c>
      <x:c r="I11" s="122" t="n">
        <x:v>1950</x:v>
      </x:c>
      <x:c r="J11" s="364" t="n">
        <x:f>IF(H11=0,"",D11/H11)</x:f>
        <x:v>65.05882352941177</x:v>
      </x:c>
      <x:c r="K11" s="364" t="n">
        <x:f>IF(I11=0,"",G11/I11)</x:f>
        <x:v>31.28205128205128</x:v>
      </x:c>
      <x:c r="L11" s="362" t="n">
        <x:v>83000</x:v>
      </x:c>
      <x:c r="M11" s="362" t="n">
        <x:v>58500</x:v>
      </x:c>
      <x:c r="N11" s="362" t="n">
        <x:v>16000</x:v>
      </x:c>
      <x:c r="O11" s="362" t="n">
        <x:v>6700</x:v>
      </x:c>
      <x:c r="P11" s="362" t="n">
        <x:v>5800</x:v>
      </x:c>
      <x:c r="Q11" s="362" t="n">
        <x:v>16300</x:v>
      </x:c>
      <x:c r="R11" s="362" t="n">
        <x:v>7150</x:v>
      </x:c>
      <x:c r="S11" s="362" t="n">
        <x:v>2800</x:v>
      </x:c>
      <x:c r="T11" s="366" t="n">
        <x:f>SUM(L11:S11)</x:f>
        <x:v>196250</x:v>
      </x:c>
      <x:c r="U11" s="366" t="n">
        <x:f>D11-T11</x:f>
        <x:v>80250</x:v>
      </x:c>
      <x:c r="V11" s="368" t="n">
        <x:f>IF(D11=0,"",U11/D11)</x:f>
        <x:v>0.29023508137432186</x:v>
      </x:c>
      <x:c r="W11" s="368" t="n">
        <x:f>IF(D11=0,"",G11/D11)</x:f>
        <x:v>0.2206148282097649</x:v>
      </x:c>
      <x:c r="X11" s="445" t="str">
        <x:f>IF(ABS((E11+F11+G11)-D11)&lt;1,"PASS","REVIEW")</x:f>
        <x:v>PASS</x:v>
      </x:c>
      <x:c r="Y11" s="6"/>
      <x:c r="Z11" s="6"/>
    </x:row>
    <x:row r="12">
      <x:c r="A12" s="427" t="n">
        <x:v>46069</x:v>
      </x:c>
      <x:c r="B12" s="370" t="n">
        <x:f>IF(A12="","",A12+6)</x:f>
        <x:v>46075</x:v>
      </x:c>
      <x:c r="C12" s="122" t="str">
        <x:v>Sample Branch</x:v>
      </x:c>
      <x:c r="D12" s="362" t="n">
        <x:v>284000</x:v>
      </x:c>
      <x:c r="E12" s="362" t="n">
        <x:v>172000</x:v>
      </x:c>
      <x:c r="F12" s="362" t="n">
        <x:v>49200</x:v>
      </x:c>
      <x:c r="G12" s="362" t="n">
        <x:v>62800</x:v>
      </x:c>
      <x:c r="H12" s="122" t="n">
        <x:v>4340</x:v>
      </x:c>
      <x:c r="I12" s="122" t="n">
        <x:v>1980</x:v>
      </x:c>
      <x:c r="J12" s="364" t="n">
        <x:f>IF(H12=0,"",D12/H12)</x:f>
        <x:v>65.43778801843318</x:v>
      </x:c>
      <x:c r="K12" s="364" t="n">
        <x:f>IF(I12=0,"",G12/I12)</x:f>
        <x:v>31.717171717171716</x:v>
      </x:c>
      <x:c r="L12" s="362" t="n">
        <x:v>85200</x:v>
      </x:c>
      <x:c r="M12" s="362" t="n">
        <x:v>60000</x:v>
      </x:c>
      <x:c r="N12" s="362" t="n">
        <x:v>16000</x:v>
      </x:c>
      <x:c r="O12" s="362" t="n">
        <x:v>6800</x:v>
      </x:c>
      <x:c r="P12" s="362" t="n">
        <x:v>5920</x:v>
      </x:c>
      <x:c r="Q12" s="362" t="n">
        <x:v>16660</x:v>
      </x:c>
      <x:c r="R12" s="362" t="n">
        <x:v>7300</x:v>
      </x:c>
      <x:c r="S12" s="362" t="n">
        <x:v>2800</x:v>
      </x:c>
      <x:c r="T12" s="366" t="n">
        <x:f>SUM(L12:S12)</x:f>
        <x:v>200680</x:v>
      </x:c>
      <x:c r="U12" s="366" t="n">
        <x:f>D12-T12</x:f>
        <x:v>83320</x:v>
      </x:c>
      <x:c r="V12" s="368" t="n">
        <x:f>IF(D12=0,"",U12/D12)</x:f>
        <x:v>0.29338028169014085</x:v>
      </x:c>
      <x:c r="W12" s="368" t="n">
        <x:f>IF(D12=0,"",G12/D12)</x:f>
        <x:v>0.2211267605633803</x:v>
      </x:c>
      <x:c r="X12" s="445" t="str">
        <x:f>IF(ABS((E12+F12+G12)-D12)&lt;1,"PASS","REVIEW")</x:f>
        <x:v>PASS</x:v>
      </x:c>
      <x:c r="Y12" s="6"/>
      <x:c r="Z12" s="6"/>
    </x:row>
    <x:row r="13">
      <x:c r="A13" s="427" t="n">
        <x:v>46076</x:v>
      </x:c>
      <x:c r="B13" s="370" t="n">
        <x:f>IF(A13="","",A13+6)</x:f>
        <x:v>46082</x:v>
      </x:c>
      <x:c r="C13" s="122" t="str">
        <x:v>Sample Branch</x:v>
      </x:c>
      <x:c r="D13" s="362" t="n">
        <x:v>291500</x:v>
      </x:c>
      <x:c r="E13" s="362" t="n">
        <x:v>176500</x:v>
      </x:c>
      <x:c r="F13" s="362" t="n">
        <x:v>50400</x:v>
      </x:c>
      <x:c r="G13" s="362" t="n">
        <x:v>64600</x:v>
      </x:c>
      <x:c r="H13" s="122" t="n">
        <x:v>4430</x:v>
      </x:c>
      <x:c r="I13" s="122" t="n">
        <x:v>2010</x:v>
      </x:c>
      <x:c r="J13" s="364" t="n">
        <x:f>IF(H13=0,"",D13/H13)</x:f>
        <x:v>65.80135440180587</x:v>
      </x:c>
      <x:c r="K13" s="364" t="n">
        <x:f>IF(I13=0,"",G13/I13)</x:f>
        <x:v>32.13930348258707</x:v>
      </x:c>
      <x:c r="L13" s="362" t="n">
        <x:v>87400</x:v>
      </x:c>
      <x:c r="M13" s="362" t="n">
        <x:v>61500</x:v>
      </x:c>
      <x:c r="N13" s="362" t="n">
        <x:v>16000</x:v>
      </x:c>
      <x:c r="O13" s="362" t="n">
        <x:v>6900</x:v>
      </x:c>
      <x:c r="P13" s="362" t="n">
        <x:v>6040</x:v>
      </x:c>
      <x:c r="Q13" s="362" t="n">
        <x:v>17020</x:v>
      </x:c>
      <x:c r="R13" s="362" t="n">
        <x:v>7450</x:v>
      </x:c>
      <x:c r="S13" s="362" t="n">
        <x:v>2800</x:v>
      </x:c>
      <x:c r="T13" s="366" t="n">
        <x:f>SUM(L13:S13)</x:f>
        <x:v>205110</x:v>
      </x:c>
      <x:c r="U13" s="366" t="n">
        <x:f>D13-T13</x:f>
        <x:v>86390</x:v>
      </x:c>
      <x:c r="V13" s="368" t="n">
        <x:f>IF(D13=0,"",U13/D13)</x:f>
        <x:v>0.2963636363636364</x:v>
      </x:c>
      <x:c r="W13" s="368" t="n">
        <x:f>IF(D13=0,"",G13/D13)</x:f>
        <x:v>0.2216123499142367</x:v>
      </x:c>
      <x:c r="X13" s="445" t="str">
        <x:f>IF(ABS((E13+F13+G13)-D13)&lt;1,"PASS","REVIEW")</x:f>
        <x:v>PASS</x:v>
      </x:c>
      <x:c r="Y13" s="6"/>
      <x:c r="Z13" s="6"/>
    </x:row>
    <x:row r="14">
      <x:c r="A14" s="427" t="n">
        <x:v>46083</x:v>
      </x:c>
      <x:c r="B14" s="370" t="n">
        <x:f>IF(A14="","",A14+6)</x:f>
        <x:v>46089</x:v>
      </x:c>
      <x:c r="C14" s="122" t="str">
        <x:v>Sample Branch</x:v>
      </x:c>
      <x:c r="D14" s="362" t="n">
        <x:v>299000</x:v>
      </x:c>
      <x:c r="E14" s="362" t="n">
        <x:v>181000</x:v>
      </x:c>
      <x:c r="F14" s="362" t="n">
        <x:v>51600</x:v>
      </x:c>
      <x:c r="G14" s="362" t="n">
        <x:v>66400</x:v>
      </x:c>
      <x:c r="H14" s="122" t="n">
        <x:v>4520</x:v>
      </x:c>
      <x:c r="I14" s="122" t="n">
        <x:v>2040</x:v>
      </x:c>
      <x:c r="J14" s="364" t="n">
        <x:f>IF(H14=0,"",D14/H14)</x:f>
        <x:v>66.15044247787611</x:v>
      </x:c>
      <x:c r="K14" s="364" t="n">
        <x:f>IF(I14=0,"",G14/I14)</x:f>
        <x:v>32.549019607843135</x:v>
      </x:c>
      <x:c r="L14" s="362" t="n">
        <x:v>89600</x:v>
      </x:c>
      <x:c r="M14" s="362" t="n">
        <x:v>63000</x:v>
      </x:c>
      <x:c r="N14" s="362" t="n">
        <x:v>16000</x:v>
      </x:c>
      <x:c r="O14" s="362" t="n">
        <x:v>7000</x:v>
      </x:c>
      <x:c r="P14" s="362" t="n">
        <x:v>6160</x:v>
      </x:c>
      <x:c r="Q14" s="362" t="n">
        <x:v>17380</x:v>
      </x:c>
      <x:c r="R14" s="362" t="n">
        <x:v>7600</x:v>
      </x:c>
      <x:c r="S14" s="362" t="n">
        <x:v>2800</x:v>
      </x:c>
      <x:c r="T14" s="366" t="n">
        <x:f>SUM(L14:S14)</x:f>
        <x:v>209540</x:v>
      </x:c>
      <x:c r="U14" s="366" t="n">
        <x:f>D14-T14</x:f>
        <x:v>89460</x:v>
      </x:c>
      <x:c r="V14" s="368" t="n">
        <x:f>IF(D14=0,"",U14/D14)</x:f>
        <x:v>0.2991973244147157</x:v>
      </x:c>
      <x:c r="W14" s="368" t="n">
        <x:f>IF(D14=0,"",G14/D14)</x:f>
        <x:v>0.22207357859531773</x:v>
      </x:c>
      <x:c r="X14" s="445" t="str">
        <x:f>IF(ABS((E14+F14+G14)-D14)&lt;1,"PASS","REVIEW")</x:f>
        <x:v>PASS</x:v>
      </x:c>
      <x:c r="Y14" s="6"/>
      <x:c r="Z14" s="6"/>
    </x:row>
    <x:row r="15">
      <x:c r="A15" s="427" t="n">
        <x:v>46090</x:v>
      </x:c>
      <x:c r="B15" s="370" t="n">
        <x:f>IF(A15="","",A15+6)</x:f>
        <x:v>46096</x:v>
      </x:c>
      <x:c r="C15" s="122" t="str">
        <x:v>Sample Branch</x:v>
      </x:c>
      <x:c r="D15" s="362" t="n">
        <x:v>306500</x:v>
      </x:c>
      <x:c r="E15" s="362" t="n">
        <x:v>185500</x:v>
      </x:c>
      <x:c r="F15" s="362" t="n">
        <x:v>52800</x:v>
      </x:c>
      <x:c r="G15" s="362" t="n">
        <x:v>68200</x:v>
      </x:c>
      <x:c r="H15" s="122" t="n">
        <x:v>4610</x:v>
      </x:c>
      <x:c r="I15" s="122" t="n">
        <x:v>2070</x:v>
      </x:c>
      <x:c r="J15" s="364" t="n">
        <x:f>IF(H15=0,"",D15/H15)</x:f>
        <x:v>66.48590021691975</x:v>
      </x:c>
      <x:c r="K15" s="364" t="n">
        <x:f>IF(I15=0,"",G15/I15)</x:f>
        <x:v>32.94685990338164</x:v>
      </x:c>
      <x:c r="L15" s="362" t="n">
        <x:v>91800</x:v>
      </x:c>
      <x:c r="M15" s="362" t="n">
        <x:v>64500</x:v>
      </x:c>
      <x:c r="N15" s="362" t="n">
        <x:v>16000</x:v>
      </x:c>
      <x:c r="O15" s="362" t="n">
        <x:v>7100</x:v>
      </x:c>
      <x:c r="P15" s="362" t="n">
        <x:v>6280</x:v>
      </x:c>
      <x:c r="Q15" s="362" t="n">
        <x:v>17740</x:v>
      </x:c>
      <x:c r="R15" s="362" t="n">
        <x:v>7750</x:v>
      </x:c>
      <x:c r="S15" s="362" t="n">
        <x:v>2800</x:v>
      </x:c>
      <x:c r="T15" s="366" t="n">
        <x:f>SUM(L15:S15)</x:f>
        <x:v>213970</x:v>
      </x:c>
      <x:c r="U15" s="366" t="n">
        <x:f>D15-T15</x:f>
        <x:v>92530</x:v>
      </x:c>
      <x:c r="V15" s="368" t="n">
        <x:f>IF(D15=0,"",U15/D15)</x:f>
        <x:v>0.30189233278955957</x:v>
      </x:c>
      <x:c r="W15" s="368" t="n">
        <x:f>IF(D15=0,"",G15/D15)</x:f>
        <x:v>0.22251223491027733</x:v>
      </x:c>
      <x:c r="X15" s="445" t="str">
        <x:f>IF(ABS((E15+F15+G15)-D15)&lt;1,"PASS","REVIEW")</x:f>
        <x:v>PASS</x:v>
      </x:c>
      <x:c r="Y15" s="6"/>
      <x:c r="Z15" s="6"/>
    </x:row>
    <x:row r="16">
      <x:c r="A16" s="427" t="n">
        <x:v>46097</x:v>
      </x:c>
      <x:c r="B16" s="370" t="n">
        <x:f>IF(A16="","",A16+6)</x:f>
        <x:v>46103</x:v>
      </x:c>
      <x:c r="C16" s="122" t="str">
        <x:v>Sample Branch</x:v>
      </x:c>
      <x:c r="D16" s="362" t="n">
        <x:v>314000</x:v>
      </x:c>
      <x:c r="E16" s="362" t="n">
        <x:v>190000</x:v>
      </x:c>
      <x:c r="F16" s="362" t="n">
        <x:v>54000</x:v>
      </x:c>
      <x:c r="G16" s="362" t="n">
        <x:v>70000</x:v>
      </x:c>
      <x:c r="H16" s="122" t="n">
        <x:v>4700</x:v>
      </x:c>
      <x:c r="I16" s="122" t="n">
        <x:v>2100</x:v>
      </x:c>
      <x:c r="J16" s="364" t="n">
        <x:f>IF(H16=0,"",D16/H16)</x:f>
        <x:v>66.80851063829788</x:v>
      </x:c>
      <x:c r="K16" s="364" t="n">
        <x:f>IF(I16=0,"",G16/I16)</x:f>
        <x:v>33.333333333333336</x:v>
      </x:c>
      <x:c r="L16" s="362" t="n">
        <x:v>94000</x:v>
      </x:c>
      <x:c r="M16" s="362" t="n">
        <x:v>66000</x:v>
      </x:c>
      <x:c r="N16" s="362" t="n">
        <x:v>16000</x:v>
      </x:c>
      <x:c r="O16" s="362" t="n">
        <x:v>7200</x:v>
      </x:c>
      <x:c r="P16" s="362" t="n">
        <x:v>6400</x:v>
      </x:c>
      <x:c r="Q16" s="362" t="n">
        <x:v>18100</x:v>
      </x:c>
      <x:c r="R16" s="362" t="n">
        <x:v>7900</x:v>
      </x:c>
      <x:c r="S16" s="362" t="n">
        <x:v>2800</x:v>
      </x:c>
      <x:c r="T16" s="366" t="n">
        <x:f>SUM(L16:S16)</x:f>
        <x:v>218400</x:v>
      </x:c>
      <x:c r="U16" s="366" t="n">
        <x:f>D16-T16</x:f>
        <x:v>95600</x:v>
      </x:c>
      <x:c r="V16" s="368" t="n">
        <x:f>IF(D16=0,"",U16/D16)</x:f>
        <x:v>0.30445859872611464</x:v>
      </x:c>
      <x:c r="W16" s="368" t="n">
        <x:f>IF(D16=0,"",G16/D16)</x:f>
        <x:v>0.2229299363057325</x:v>
      </x:c>
      <x:c r="X16" s="445" t="str">
        <x:f>IF(ABS((E16+F16+G16)-D16)&lt;1,"PASS","REVIEW")</x:f>
        <x:v>PASS</x:v>
      </x:c>
      <x:c r="Y16" s="6"/>
      <x:c r="Z16" s="6"/>
    </x:row>
    <x:row r="17">
      <x:c r="A17" s="427" t="n">
        <x:v>46104</x:v>
      </x:c>
      <x:c r="B17" s="370" t="n">
        <x:f>IF(A17="","",A17+6)</x:f>
        <x:v>46110</x:v>
      </x:c>
      <x:c r="C17" s="122" t="str">
        <x:v>Sample Branch</x:v>
      </x:c>
      <x:c r="D17" s="362" t="n">
        <x:v>321500</x:v>
      </x:c>
      <x:c r="E17" s="362" t="n">
        <x:v>194500</x:v>
      </x:c>
      <x:c r="F17" s="362" t="n">
        <x:v>55200</x:v>
      </x:c>
      <x:c r="G17" s="362" t="n">
        <x:v>71800</x:v>
      </x:c>
      <x:c r="H17" s="122" t="n">
        <x:v>4790</x:v>
      </x:c>
      <x:c r="I17" s="122" t="n">
        <x:v>2130</x:v>
      </x:c>
      <x:c r="J17" s="364" t="n">
        <x:f>IF(H17=0,"",D17/H17)</x:f>
        <x:v>67.11899791231733</x:v>
      </x:c>
      <x:c r="K17" s="364" t="n">
        <x:f>IF(I17=0,"",G17/I17)</x:f>
        <x:v>33.708920187793424</x:v>
      </x:c>
      <x:c r="L17" s="362" t="n">
        <x:v>96200</x:v>
      </x:c>
      <x:c r="M17" s="362" t="n">
        <x:v>67500</x:v>
      </x:c>
      <x:c r="N17" s="362" t="n">
        <x:v>16000</x:v>
      </x:c>
      <x:c r="O17" s="362" t="n">
        <x:v>7300</x:v>
      </x:c>
      <x:c r="P17" s="362" t="n">
        <x:v>6520</x:v>
      </x:c>
      <x:c r="Q17" s="362" t="n">
        <x:v>18460</x:v>
      </x:c>
      <x:c r="R17" s="362" t="n">
        <x:v>8050</x:v>
      </x:c>
      <x:c r="S17" s="362" t="n">
        <x:v>2800</x:v>
      </x:c>
      <x:c r="T17" s="366" t="n">
        <x:f>SUM(L17:S17)</x:f>
        <x:v>222830</x:v>
      </x:c>
      <x:c r="U17" s="366" t="n">
        <x:f>D17-T17</x:f>
        <x:v>98670</x:v>
      </x:c>
      <x:c r="V17" s="368" t="n">
        <x:f>IF(D17=0,"",U17/D17)</x:f>
        <x:v>0.30690513219284604</x:v>
      </x:c>
      <x:c r="W17" s="368" t="n">
        <x:f>IF(D17=0,"",G17/D17)</x:f>
        <x:v>0.22332814930015552</x:v>
      </x:c>
      <x:c r="X17" s="445" t="str">
        <x:f>IF(ABS((E17+F17+G17)-D17)&lt;1,"PASS","REVIEW")</x:f>
        <x:v>PASS</x:v>
      </x:c>
      <x:c r="Y17" s="6"/>
      <x:c r="Z17" s="6"/>
    </x:row>
    <x:row r="18">
      <x:c r="A18" s="428" t="n">
        <x:v>46111</x:v>
      </x:c>
      <x:c r="B18" s="402" t="n">
        <x:f>IF(A18="","",A18+6)</x:f>
        <x:v>46117</x:v>
      </x:c>
      <x:c r="C18" s="321" t="str">
        <x:v>Sample Branch</x:v>
      </x:c>
      <x:c r="D18" s="403" t="n">
        <x:v>329000</x:v>
      </x:c>
      <x:c r="E18" s="403" t="n">
        <x:v>199000</x:v>
      </x:c>
      <x:c r="F18" s="403" t="n">
        <x:v>56400</x:v>
      </x:c>
      <x:c r="G18" s="403" t="n">
        <x:v>73600</x:v>
      </x:c>
      <x:c r="H18" s="321" t="n">
        <x:v>4880</x:v>
      </x:c>
      <x:c r="I18" s="321" t="n">
        <x:v>2160</x:v>
      </x:c>
      <x:c r="J18" s="404" t="n">
        <x:f>IF(H18=0,"",D18/H18)</x:f>
        <x:v>67.41803278688525</x:v>
      </x:c>
      <x:c r="K18" s="404" t="n">
        <x:f>IF(I18=0,"",G18/I18)</x:f>
        <x:v>34.074074074074076</x:v>
      </x:c>
      <x:c r="L18" s="403" t="n">
        <x:v>98400</x:v>
      </x:c>
      <x:c r="M18" s="403" t="n">
        <x:v>69000</x:v>
      </x:c>
      <x:c r="N18" s="403" t="n">
        <x:v>16000</x:v>
      </x:c>
      <x:c r="O18" s="403" t="n">
        <x:v>7400</x:v>
      </x:c>
      <x:c r="P18" s="403" t="n">
        <x:v>6640</x:v>
      </x:c>
      <x:c r="Q18" s="403" t="n">
        <x:v>18820</x:v>
      </x:c>
      <x:c r="R18" s="403" t="n">
        <x:v>8200</x:v>
      </x:c>
      <x:c r="S18" s="403" t="n">
        <x:v>2800</x:v>
      </x:c>
      <x:c r="T18" s="405" t="n">
        <x:f>SUM(L18:S18)</x:f>
        <x:v>227260</x:v>
      </x:c>
      <x:c r="U18" s="405" t="n">
        <x:f>D18-T18</x:f>
        <x:v>101740</x:v>
      </x:c>
      <x:c r="V18" s="406" t="n">
        <x:f>IF(D18=0,"",U18/D18)</x:f>
        <x:v>0.3092401215805471</x:v>
      </x:c>
      <x:c r="W18" s="406" t="n">
        <x:f>IF(D18=0,"",G18/D18)</x:f>
        <x:v>0.2237082066869301</x:v>
      </x:c>
      <x:c r="X18" s="446" t="str">
        <x:f>IF(ABS((E18+F18+G18)-D18)&lt;1,"PASS","REVIEW")</x:f>
        <x:v>PASS</x:v>
      </x:c>
      <x:c r="Y18" s="6"/>
      <x:c r="Z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  <x:c r="J19" s="6"/>
      <x:c r="K19" s="6"/>
      <x:c r="L19" s="6"/>
      <x:c r="M19" s="6"/>
      <x:c r="N19" s="6"/>
      <x:c r="O19" s="6"/>
      <x:c r="P19" s="6"/>
      <x:c r="Q19" s="6"/>
      <x:c r="R19" s="6"/>
      <x:c r="S19" s="6"/>
      <x:c r="T19" s="6"/>
      <x:c r="U19" s="6"/>
      <x:c r="V19" s="6"/>
      <x:c r="W19" s="6"/>
      <x:c r="X19" s="6"/>
      <x:c r="Y19" s="6"/>
      <x:c r="Z19" s="6"/>
    </x:row>
    <x:row r="20">
      <x:c r="A20" s="6"/>
      <x:c r="B20" s="6"/>
      <x:c r="C20" s="6"/>
      <x:c r="D20" s="6"/>
      <x:c r="E20" s="6"/>
      <x:c r="F20" s="6"/>
      <x:c r="G20" s="6"/>
      <x:c r="H20" s="6"/>
      <x:c r="I20" s="6"/>
      <x:c r="J20" s="6"/>
      <x:c r="K20" s="6"/>
      <x:c r="L20" s="6"/>
      <x:c r="M20" s="6"/>
      <x:c r="N20" s="6"/>
      <x:c r="O20" s="6"/>
      <x:c r="P20" s="6"/>
      <x:c r="Q20" s="6"/>
      <x:c r="R20" s="6"/>
      <x:c r="S20" s="6"/>
      <x:c r="T20" s="6"/>
      <x:c r="U20" s="6"/>
      <x:c r="V20" s="6"/>
      <x:c r="W20" s="6"/>
      <x:c r="X20" s="6"/>
      <x:c r="Y20" s="6"/>
      <x:c r="Z20" s="6"/>
    </x:row>
    <x:row r="21">
      <x:c r="A21" s="6"/>
      <x:c r="B21" s="6"/>
      <x:c r="C21" s="6"/>
      <x:c r="D21" s="6"/>
      <x:c r="E21" s="6"/>
      <x:c r="F21" s="6"/>
      <x:c r="G21" s="6"/>
      <x:c r="H21" s="6"/>
      <x:c r="I21" s="6"/>
      <x:c r="J21" s="6"/>
      <x:c r="K21" s="6"/>
      <x:c r="L21" s="6"/>
      <x:c r="M21" s="6"/>
      <x:c r="N21" s="6"/>
      <x:c r="O21" s="6"/>
      <x:c r="P21" s="6"/>
      <x:c r="Q21" s="6"/>
      <x:c r="R21" s="6"/>
      <x:c r="S21" s="6"/>
      <x:c r="T21" s="6"/>
      <x:c r="U21" s="6"/>
      <x:c r="V21" s="6"/>
      <x:c r="W21" s="6"/>
      <x:c r="X21" s="6"/>
      <x:c r="Y21" s="6"/>
      <x:c r="Z21" s="6"/>
    </x:row>
    <x:row r="22">
      <x:c r="A22" s="6"/>
      <x:c r="B22" s="6"/>
      <x:c r="C22" s="6"/>
      <x:c r="D22" s="6"/>
      <x:c r="E22" s="6"/>
      <x:c r="F22" s="6"/>
      <x:c r="G22" s="6"/>
      <x:c r="H22" s="6"/>
      <x:c r="I22" s="6"/>
      <x:c r="J22" s="6"/>
      <x:c r="K22" s="6"/>
      <x:c r="L22" s="6"/>
      <x:c r="M22" s="6"/>
      <x:c r="N22" s="6"/>
      <x:c r="O22" s="6"/>
      <x:c r="P22" s="6"/>
      <x:c r="Q22" s="6"/>
      <x:c r="R22" s="6"/>
      <x:c r="S22" s="6"/>
      <x:c r="T22" s="6"/>
      <x:c r="U22" s="6"/>
      <x:c r="V22" s="6"/>
      <x:c r="W22" s="6"/>
      <x:c r="X22" s="6"/>
      <x:c r="Y22" s="6"/>
      <x:c r="Z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6"/>
      <x:c r="P23" s="6"/>
      <x:c r="Q23" s="6"/>
      <x:c r="R23" s="6"/>
      <x:c r="S23" s="6"/>
      <x:c r="T23" s="6"/>
      <x:c r="U23" s="6"/>
      <x:c r="V23" s="6"/>
      <x:c r="W23" s="6"/>
      <x:c r="X23" s="6"/>
      <x:c r="Y23" s="6"/>
      <x:c r="Z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  <x:c r="Q24" s="6"/>
      <x:c r="R24" s="6"/>
      <x:c r="S24" s="6"/>
      <x:c r="T24" s="6"/>
      <x:c r="U24" s="6"/>
      <x:c r="V24" s="6"/>
      <x:c r="W24" s="6"/>
      <x:c r="X24" s="6"/>
      <x:c r="Y24" s="6"/>
      <x:c r="Z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  <x:c r="Q25" s="6"/>
      <x:c r="R25" s="6"/>
      <x:c r="S25" s="6"/>
      <x:c r="T25" s="6"/>
      <x:c r="U25" s="6"/>
      <x:c r="V25" s="6"/>
      <x:c r="W25" s="6"/>
      <x:c r="X25" s="6"/>
      <x:c r="Y25" s="6"/>
      <x:c r="Z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  <x:c r="Q26" s="6"/>
      <x:c r="R26" s="6"/>
      <x:c r="S26" s="6"/>
      <x:c r="T26" s="6"/>
      <x:c r="U26" s="6"/>
      <x:c r="V26" s="6"/>
      <x:c r="W26" s="6"/>
      <x:c r="X26" s="6"/>
      <x:c r="Y26" s="6"/>
      <x:c r="Z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  <x:c r="Q27" s="6"/>
      <x:c r="R27" s="6"/>
      <x:c r="S27" s="6"/>
      <x:c r="T27" s="6"/>
      <x:c r="U27" s="6"/>
      <x:c r="V27" s="6"/>
      <x:c r="W27" s="6"/>
      <x:c r="X27" s="6"/>
      <x:c r="Y27" s="6"/>
      <x:c r="Z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  <x:c r="Q28" s="6"/>
      <x:c r="R28" s="6"/>
      <x:c r="S28" s="6"/>
      <x:c r="T28" s="6"/>
      <x:c r="U28" s="6"/>
      <x:c r="V28" s="6"/>
      <x:c r="W28" s="6"/>
      <x:c r="X28" s="6"/>
      <x:c r="Y28" s="6"/>
      <x:c r="Z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  <x:c r="Q29" s="6"/>
      <x:c r="R29" s="6"/>
      <x:c r="S29" s="6"/>
      <x:c r="T29" s="6"/>
      <x:c r="U29" s="6"/>
      <x:c r="V29" s="6"/>
      <x:c r="W29" s="6"/>
      <x:c r="X29" s="6"/>
      <x:c r="Y29" s="6"/>
      <x:c r="Z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  <x:c r="Q30" s="6"/>
      <x:c r="R30" s="6"/>
      <x:c r="S30" s="6"/>
      <x:c r="T30" s="6"/>
      <x:c r="U30" s="6"/>
      <x:c r="V30" s="6"/>
      <x:c r="W30" s="6"/>
      <x:c r="X30" s="6"/>
      <x:c r="Y30" s="6"/>
      <x:c r="Z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  <x:c r="Q31" s="6"/>
      <x:c r="R31" s="6"/>
      <x:c r="S31" s="6"/>
      <x:c r="T31" s="6"/>
      <x:c r="U31" s="6"/>
      <x:c r="V31" s="6"/>
      <x:c r="W31" s="6"/>
      <x:c r="X31" s="6"/>
      <x:c r="Y31" s="6"/>
      <x:c r="Z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  <x:c r="Q32" s="6"/>
      <x:c r="R32" s="6"/>
      <x:c r="S32" s="6"/>
      <x:c r="T32" s="6"/>
      <x:c r="U32" s="6"/>
      <x:c r="V32" s="6"/>
      <x:c r="W32" s="6"/>
      <x:c r="X32" s="6"/>
      <x:c r="Y32" s="6"/>
      <x:c r="Z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  <x:c r="Q33" s="6"/>
      <x:c r="R33" s="6"/>
      <x:c r="S33" s="6"/>
      <x:c r="T33" s="6"/>
      <x:c r="U33" s="6"/>
      <x:c r="V33" s="6"/>
      <x:c r="W33" s="6"/>
      <x:c r="X33" s="6"/>
      <x:c r="Y33" s="6"/>
      <x:c r="Z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  <x:c r="Q34" s="6"/>
      <x:c r="R34" s="6"/>
      <x:c r="S34" s="6"/>
      <x:c r="T34" s="6"/>
      <x:c r="U34" s="6"/>
      <x:c r="V34" s="6"/>
      <x:c r="W34" s="6"/>
      <x:c r="X34" s="6"/>
      <x:c r="Y34" s="6"/>
      <x:c r="Z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  <x:c r="Q35" s="6"/>
      <x:c r="R35" s="6"/>
      <x:c r="S35" s="6"/>
      <x:c r="T35" s="6"/>
      <x:c r="U35" s="6"/>
      <x:c r="V35" s="6"/>
      <x:c r="W35" s="6"/>
      <x:c r="X35" s="6"/>
      <x:c r="Y35" s="6"/>
      <x:c r="Z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  <x:c r="Q36" s="6"/>
      <x:c r="R36" s="6"/>
      <x:c r="S36" s="6"/>
      <x:c r="T36" s="6"/>
      <x:c r="U36" s="6"/>
      <x:c r="V36" s="6"/>
      <x:c r="W36" s="6"/>
      <x:c r="X36" s="6"/>
      <x:c r="Y36" s="6"/>
      <x:c r="Z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  <x:c r="Q37" s="6"/>
      <x:c r="R37" s="6"/>
      <x:c r="S37" s="6"/>
      <x:c r="T37" s="6"/>
      <x:c r="U37" s="6"/>
      <x:c r="V37" s="6"/>
      <x:c r="W37" s="6"/>
      <x:c r="X37" s="6"/>
      <x:c r="Y37" s="6"/>
      <x:c r="Z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  <x:c r="Q38" s="6"/>
      <x:c r="R38" s="6"/>
      <x:c r="S38" s="6"/>
      <x:c r="T38" s="6"/>
      <x:c r="U38" s="6"/>
      <x:c r="V38" s="6"/>
      <x:c r="W38" s="6"/>
      <x:c r="X38" s="6"/>
      <x:c r="Y38" s="6"/>
      <x:c r="Z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  <x:c r="Q39" s="6"/>
      <x:c r="R39" s="6"/>
      <x:c r="S39" s="6"/>
      <x:c r="T39" s="6"/>
      <x:c r="U39" s="6"/>
      <x:c r="V39" s="6"/>
      <x:c r="W39" s="6"/>
      <x:c r="X39" s="6"/>
      <x:c r="Y39" s="6"/>
      <x:c r="Z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  <x:c r="Q40" s="6"/>
      <x:c r="R40" s="6"/>
      <x:c r="S40" s="6"/>
      <x:c r="T40" s="6"/>
      <x:c r="U40" s="6"/>
      <x:c r="V40" s="6"/>
      <x:c r="W40" s="6"/>
      <x:c r="X40" s="6"/>
      <x:c r="Y40" s="6"/>
      <x:c r="Z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  <x:c r="Q41" s="6"/>
      <x:c r="R41" s="6"/>
      <x:c r="S41" s="6"/>
      <x:c r="T41" s="6"/>
      <x:c r="U41" s="6"/>
      <x:c r="V41" s="6"/>
      <x:c r="W41" s="6"/>
      <x:c r="X41" s="6"/>
      <x:c r="Y41" s="6"/>
      <x:c r="Z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  <x:c r="Q42" s="6"/>
      <x:c r="R42" s="6"/>
      <x:c r="S42" s="6"/>
      <x:c r="T42" s="6"/>
      <x:c r="U42" s="6"/>
      <x:c r="V42" s="6"/>
      <x:c r="W42" s="6"/>
      <x:c r="X42" s="6"/>
      <x:c r="Y42" s="6"/>
      <x:c r="Z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  <x:c r="Q43" s="6"/>
      <x:c r="R43" s="6"/>
      <x:c r="S43" s="6"/>
      <x:c r="T43" s="6"/>
      <x:c r="U43" s="6"/>
      <x:c r="V43" s="6"/>
      <x:c r="W43" s="6"/>
      <x:c r="X43" s="6"/>
      <x:c r="Y43" s="6"/>
      <x:c r="Z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  <x:c r="Q44" s="6"/>
      <x:c r="R44" s="6"/>
      <x:c r="S44" s="6"/>
      <x:c r="T44" s="6"/>
      <x:c r="U44" s="6"/>
      <x:c r="V44" s="6"/>
      <x:c r="W44" s="6"/>
      <x:c r="X44" s="6"/>
      <x:c r="Y44" s="6"/>
      <x:c r="Z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  <x:c r="Q45" s="6"/>
      <x:c r="R45" s="6"/>
      <x:c r="S45" s="6"/>
      <x:c r="T45" s="6"/>
      <x:c r="U45" s="6"/>
      <x:c r="V45" s="6"/>
      <x:c r="W45" s="6"/>
      <x:c r="X45" s="6"/>
      <x:c r="Y45" s="6"/>
      <x:c r="Z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  <x:c r="Q46" s="6"/>
      <x:c r="R46" s="6"/>
      <x:c r="S46" s="6"/>
      <x:c r="T46" s="6"/>
      <x:c r="U46" s="6"/>
      <x:c r="V46" s="6"/>
      <x:c r="W46" s="6"/>
      <x:c r="X46" s="6"/>
      <x:c r="Y46" s="6"/>
      <x:c r="Z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  <x:c r="Q47" s="6"/>
      <x:c r="R47" s="6"/>
      <x:c r="S47" s="6"/>
      <x:c r="T47" s="6"/>
      <x:c r="U47" s="6"/>
      <x:c r="V47" s="6"/>
      <x:c r="W47" s="6"/>
      <x:c r="X47" s="6"/>
      <x:c r="Y47" s="6"/>
      <x:c r="Z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  <x:c r="Q48" s="6"/>
      <x:c r="R48" s="6"/>
      <x:c r="S48" s="6"/>
      <x:c r="T48" s="6"/>
      <x:c r="U48" s="6"/>
      <x:c r="V48" s="6"/>
      <x:c r="W48" s="6"/>
      <x:c r="X48" s="6"/>
      <x:c r="Y48" s="6"/>
      <x:c r="Z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  <x:c r="Q49" s="6"/>
      <x:c r="R49" s="6"/>
      <x:c r="S49" s="6"/>
      <x:c r="T49" s="6"/>
      <x:c r="U49" s="6"/>
      <x:c r="V49" s="6"/>
      <x:c r="W49" s="6"/>
      <x:c r="X49" s="6"/>
      <x:c r="Y49" s="6"/>
      <x:c r="Z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  <x:c r="Q50" s="6"/>
      <x:c r="R50" s="6"/>
      <x:c r="S50" s="6"/>
      <x:c r="T50" s="6"/>
      <x:c r="U50" s="6"/>
      <x:c r="V50" s="6"/>
      <x:c r="W50" s="6"/>
      <x:c r="X50" s="6"/>
      <x:c r="Y50" s="6"/>
      <x:c r="Z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  <x:c r="Q51" s="6"/>
      <x:c r="R51" s="6"/>
      <x:c r="S51" s="6"/>
      <x:c r="T51" s="6"/>
      <x:c r="U51" s="6"/>
      <x:c r="V51" s="6"/>
      <x:c r="W51" s="6"/>
      <x:c r="X51" s="6"/>
      <x:c r="Y51" s="6"/>
      <x:c r="Z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  <x:c r="Q52" s="6"/>
      <x:c r="R52" s="6"/>
      <x:c r="S52" s="6"/>
      <x:c r="T52" s="6"/>
      <x:c r="U52" s="6"/>
      <x:c r="V52" s="6"/>
      <x:c r="W52" s="6"/>
      <x:c r="X52" s="6"/>
      <x:c r="Y52" s="6"/>
      <x:c r="Z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  <x:c r="Q53" s="6"/>
      <x:c r="R53" s="6"/>
      <x:c r="S53" s="6"/>
      <x:c r="T53" s="6"/>
      <x:c r="U53" s="6"/>
      <x:c r="V53" s="6"/>
      <x:c r="W53" s="6"/>
      <x:c r="X53" s="6"/>
      <x:c r="Y53" s="6"/>
      <x:c r="Z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  <x:c r="Q54" s="6"/>
      <x:c r="R54" s="6"/>
      <x:c r="S54" s="6"/>
      <x:c r="T54" s="6"/>
      <x:c r="U54" s="6"/>
      <x:c r="V54" s="6"/>
      <x:c r="W54" s="6"/>
      <x:c r="X54" s="6"/>
      <x:c r="Y54" s="6"/>
      <x:c r="Z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  <x:c r="Q55" s="6"/>
      <x:c r="R55" s="6"/>
      <x:c r="S55" s="6"/>
      <x:c r="T55" s="6"/>
      <x:c r="U55" s="6"/>
      <x:c r="V55" s="6"/>
      <x:c r="W55" s="6"/>
      <x:c r="X55" s="6"/>
      <x:c r="Y55" s="6"/>
      <x:c r="Z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  <x:c r="Q56" s="6"/>
      <x:c r="R56" s="6"/>
      <x:c r="S56" s="6"/>
      <x:c r="T56" s="6"/>
      <x:c r="U56" s="6"/>
      <x:c r="V56" s="6"/>
      <x:c r="W56" s="6"/>
      <x:c r="X56" s="6"/>
      <x:c r="Y56" s="6"/>
      <x:c r="Z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  <x:c r="Q57" s="6"/>
      <x:c r="R57" s="6"/>
      <x:c r="S57" s="6"/>
      <x:c r="T57" s="6"/>
      <x:c r="U57" s="6"/>
      <x:c r="V57" s="6"/>
      <x:c r="W57" s="6"/>
      <x:c r="X57" s="6"/>
      <x:c r="Y57" s="6"/>
      <x:c r="Z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  <x:c r="Q58" s="6"/>
      <x:c r="R58" s="6"/>
      <x:c r="S58" s="6"/>
      <x:c r="T58" s="6"/>
      <x:c r="U58" s="6"/>
      <x:c r="V58" s="6"/>
      <x:c r="W58" s="6"/>
      <x:c r="X58" s="6"/>
      <x:c r="Y58" s="6"/>
      <x:c r="Z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  <x:c r="Q59" s="6"/>
      <x:c r="R59" s="6"/>
      <x:c r="S59" s="6"/>
      <x:c r="T59" s="6"/>
      <x:c r="U59" s="6"/>
      <x:c r="V59" s="6"/>
      <x:c r="W59" s="6"/>
      <x:c r="X59" s="6"/>
      <x:c r="Y59" s="6"/>
      <x:c r="Z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  <x:c r="Q60" s="6"/>
      <x:c r="R60" s="6"/>
      <x:c r="S60" s="6"/>
      <x:c r="T60" s="6"/>
      <x:c r="U60" s="6"/>
      <x:c r="V60" s="6"/>
      <x:c r="W60" s="6"/>
      <x:c r="X60" s="6"/>
      <x:c r="Y60" s="6"/>
      <x:c r="Z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  <x:c r="Q61" s="6"/>
      <x:c r="R61" s="6"/>
      <x:c r="S61" s="6"/>
      <x:c r="T61" s="6"/>
      <x:c r="U61" s="6"/>
      <x:c r="V61" s="6"/>
      <x:c r="W61" s="6"/>
      <x:c r="X61" s="6"/>
      <x:c r="Y61" s="6"/>
      <x:c r="Z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  <x:c r="Q62" s="6"/>
      <x:c r="R62" s="6"/>
      <x:c r="S62" s="6"/>
      <x:c r="T62" s="6"/>
      <x:c r="U62" s="6"/>
      <x:c r="V62" s="6"/>
      <x:c r="W62" s="6"/>
      <x:c r="X62" s="6"/>
      <x:c r="Y62" s="6"/>
      <x:c r="Z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  <x:c r="Q63" s="6"/>
      <x:c r="R63" s="6"/>
      <x:c r="S63" s="6"/>
      <x:c r="T63" s="6"/>
      <x:c r="U63" s="6"/>
      <x:c r="V63" s="6"/>
      <x:c r="W63" s="6"/>
      <x:c r="X63" s="6"/>
      <x:c r="Y63" s="6"/>
      <x:c r="Z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  <x:c r="Q64" s="6"/>
      <x:c r="R64" s="6"/>
      <x:c r="S64" s="6"/>
      <x:c r="T64" s="6"/>
      <x:c r="U64" s="6"/>
      <x:c r="V64" s="6"/>
      <x:c r="W64" s="6"/>
      <x:c r="X64" s="6"/>
      <x:c r="Y64" s="6"/>
      <x:c r="Z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  <x:c r="R65" s="6"/>
      <x:c r="S65" s="6"/>
      <x:c r="T65" s="6"/>
      <x:c r="U65" s="6"/>
      <x:c r="V65" s="6"/>
      <x:c r="W65" s="6"/>
      <x:c r="X65" s="6"/>
      <x:c r="Y65" s="6"/>
      <x:c r="Z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  <x:c r="Q66" s="6"/>
      <x:c r="R66" s="6"/>
      <x:c r="S66" s="6"/>
      <x:c r="T66" s="6"/>
      <x:c r="U66" s="6"/>
      <x:c r="V66" s="6"/>
      <x:c r="W66" s="6"/>
      <x:c r="X66" s="6"/>
      <x:c r="Y66" s="6"/>
      <x:c r="Z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  <x:c r="Q67" s="6"/>
      <x:c r="R67" s="6"/>
      <x:c r="S67" s="6"/>
      <x:c r="T67" s="6"/>
      <x:c r="U67" s="6"/>
      <x:c r="V67" s="6"/>
      <x:c r="W67" s="6"/>
      <x:c r="X67" s="6"/>
      <x:c r="Y67" s="6"/>
      <x:c r="Z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  <x:c r="Q68" s="6"/>
      <x:c r="R68" s="6"/>
      <x:c r="S68" s="6"/>
      <x:c r="T68" s="6"/>
      <x:c r="U68" s="6"/>
      <x:c r="V68" s="6"/>
      <x:c r="W68" s="6"/>
      <x:c r="X68" s="6"/>
      <x:c r="Y68" s="6"/>
      <x:c r="Z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  <x:c r="Q69" s="6"/>
      <x:c r="R69" s="6"/>
      <x:c r="S69" s="6"/>
      <x:c r="T69" s="6"/>
      <x:c r="U69" s="6"/>
      <x:c r="V69" s="6"/>
      <x:c r="W69" s="6"/>
      <x:c r="X69" s="6"/>
      <x:c r="Y69" s="6"/>
      <x:c r="Z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 s="6"/>
      <x:c r="U70" s="6"/>
      <x:c r="V70" s="6"/>
      <x:c r="W70" s="6"/>
      <x:c r="X70" s="6"/>
      <x:c r="Y70" s="6"/>
      <x:c r="Z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  <x:c r="Q71" s="6"/>
      <x:c r="R71" s="6"/>
      <x:c r="S71" s="6"/>
      <x:c r="T71" s="6"/>
      <x:c r="U71" s="6"/>
      <x:c r="V71" s="6"/>
      <x:c r="W71" s="6"/>
      <x:c r="X71" s="6"/>
      <x:c r="Y71" s="6"/>
      <x:c r="Z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  <x:c r="Q72" s="6"/>
      <x:c r="R72" s="6"/>
      <x:c r="S72" s="6"/>
      <x:c r="T72" s="6"/>
      <x:c r="U72" s="6"/>
      <x:c r="V72" s="6"/>
      <x:c r="W72" s="6"/>
      <x:c r="X72" s="6"/>
      <x:c r="Y72" s="6"/>
      <x:c r="Z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  <x:c r="Q73" s="6"/>
      <x:c r="R73" s="6"/>
      <x:c r="S73" s="6"/>
      <x:c r="T73" s="6"/>
      <x:c r="U73" s="6"/>
      <x:c r="V73" s="6"/>
      <x:c r="W73" s="6"/>
      <x:c r="X73" s="6"/>
      <x:c r="Y73" s="6"/>
      <x:c r="Z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  <x:c r="Q74" s="6"/>
      <x:c r="R74" s="6"/>
      <x:c r="S74" s="6"/>
      <x:c r="T74" s="6"/>
      <x:c r="U74" s="6"/>
      <x:c r="V74" s="6"/>
      <x:c r="W74" s="6"/>
      <x:c r="X74" s="6"/>
      <x:c r="Y74" s="6"/>
      <x:c r="Z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  <x:c r="Q75" s="6"/>
      <x:c r="R75" s="6"/>
      <x:c r="S75" s="6"/>
      <x:c r="T75" s="6"/>
      <x:c r="U75" s="6"/>
      <x:c r="V75" s="6"/>
      <x:c r="W75" s="6"/>
      <x:c r="X75" s="6"/>
      <x:c r="Y75" s="6"/>
      <x:c r="Z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  <x:c r="Q76" s="6"/>
      <x:c r="R76" s="6"/>
      <x:c r="S76" s="6"/>
      <x:c r="T76" s="6"/>
      <x:c r="U76" s="6"/>
      <x:c r="V76" s="6"/>
      <x:c r="W76" s="6"/>
      <x:c r="X76" s="6"/>
      <x:c r="Y76" s="6"/>
      <x:c r="Z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  <x:c r="Q77" s="6"/>
      <x:c r="R77" s="6"/>
      <x:c r="S77" s="6"/>
      <x:c r="T77" s="6"/>
      <x:c r="U77" s="6"/>
      <x:c r="V77" s="6"/>
      <x:c r="W77" s="6"/>
      <x:c r="X77" s="6"/>
      <x:c r="Y77" s="6"/>
      <x:c r="Z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  <x:c r="Q78" s="6"/>
      <x:c r="R78" s="6"/>
      <x:c r="S78" s="6"/>
      <x:c r="T78" s="6"/>
      <x:c r="U78" s="6"/>
      <x:c r="V78" s="6"/>
      <x:c r="W78" s="6"/>
      <x:c r="X78" s="6"/>
      <x:c r="Y78" s="6"/>
      <x:c r="Z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  <x:c r="Q79" s="6"/>
      <x:c r="R79" s="6"/>
      <x:c r="S79" s="6"/>
      <x:c r="T79" s="6"/>
      <x:c r="U79" s="6"/>
      <x:c r="V79" s="6"/>
      <x:c r="W79" s="6"/>
      <x:c r="X79" s="6"/>
      <x:c r="Y79" s="6"/>
      <x:c r="Z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  <x:c r="Q80" s="6"/>
      <x:c r="R80" s="6"/>
      <x:c r="S80" s="6"/>
      <x:c r="T80" s="6"/>
      <x:c r="U80" s="6"/>
      <x:c r="V80" s="6"/>
      <x:c r="W80" s="6"/>
      <x:c r="X80" s="6"/>
      <x:c r="Y80" s="6"/>
      <x:c r="Z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  <x:c r="Q81" s="6"/>
      <x:c r="R81" s="6"/>
      <x:c r="S81" s="6"/>
      <x:c r="T81" s="6"/>
      <x:c r="U81" s="6"/>
      <x:c r="V81" s="6"/>
      <x:c r="W81" s="6"/>
      <x:c r="X81" s="6"/>
      <x:c r="Y81" s="6"/>
      <x:c r="Z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  <x:c r="Q82" s="6"/>
      <x:c r="R82" s="6"/>
      <x:c r="S82" s="6"/>
      <x:c r="T82" s="6"/>
      <x:c r="U82" s="6"/>
      <x:c r="V82" s="6"/>
      <x:c r="W82" s="6"/>
      <x:c r="X82" s="6"/>
      <x:c r="Y82" s="6"/>
      <x:c r="Z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  <x:c r="Q83" s="6"/>
      <x:c r="R83" s="6"/>
      <x:c r="S83" s="6"/>
      <x:c r="T83" s="6"/>
      <x:c r="U83" s="6"/>
      <x:c r="V83" s="6"/>
      <x:c r="W83" s="6"/>
      <x:c r="X83" s="6"/>
      <x:c r="Y83" s="6"/>
      <x:c r="Z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  <x:c r="Q84" s="6"/>
      <x:c r="R84" s="6"/>
      <x:c r="S84" s="6"/>
      <x:c r="T84" s="6"/>
      <x:c r="U84" s="6"/>
      <x:c r="V84" s="6"/>
      <x:c r="W84" s="6"/>
      <x:c r="X84" s="6"/>
      <x:c r="Y84" s="6"/>
      <x:c r="Z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  <x:c r="R85" s="6"/>
      <x:c r="S85" s="6"/>
      <x:c r="T85" s="6"/>
      <x:c r="U85" s="6"/>
      <x:c r="V85" s="6"/>
      <x:c r="W85" s="6"/>
      <x:c r="X85" s="6"/>
      <x:c r="Y85" s="6"/>
      <x:c r="Z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  <x:c r="Q86" s="6"/>
      <x:c r="R86" s="6"/>
      <x:c r="S86" s="6"/>
      <x:c r="T86" s="6"/>
      <x:c r="U86" s="6"/>
      <x:c r="V86" s="6"/>
      <x:c r="W86" s="6"/>
      <x:c r="X86" s="6"/>
      <x:c r="Y86" s="6"/>
      <x:c r="Z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  <x:c r="Q87" s="6"/>
      <x:c r="R87" s="6"/>
      <x:c r="S87" s="6"/>
      <x:c r="T87" s="6"/>
      <x:c r="U87" s="6"/>
      <x:c r="V87" s="6"/>
      <x:c r="W87" s="6"/>
      <x:c r="X87" s="6"/>
      <x:c r="Y87" s="6"/>
      <x:c r="Z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  <x:c r="Q88" s="6"/>
      <x:c r="R88" s="6"/>
      <x:c r="S88" s="6"/>
      <x:c r="T88" s="6"/>
      <x:c r="U88" s="6"/>
      <x:c r="V88" s="6"/>
      <x:c r="W88" s="6"/>
      <x:c r="X88" s="6"/>
      <x:c r="Y88" s="6"/>
      <x:c r="Z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  <x:c r="Q89" s="6"/>
      <x:c r="R89" s="6"/>
      <x:c r="S89" s="6"/>
      <x:c r="T89" s="6"/>
      <x:c r="U89" s="6"/>
      <x:c r="V89" s="6"/>
      <x:c r="W89" s="6"/>
      <x:c r="X89" s="6"/>
      <x:c r="Y89" s="6"/>
      <x:c r="Z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  <x:c r="Q90" s="6"/>
      <x:c r="R90" s="6"/>
      <x:c r="S90" s="6"/>
      <x:c r="T90" s="6"/>
      <x:c r="U90" s="6"/>
      <x:c r="V90" s="6"/>
      <x:c r="W90" s="6"/>
      <x:c r="X90" s="6"/>
      <x:c r="Y90" s="6"/>
      <x:c r="Z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  <x:c r="Q91" s="6"/>
      <x:c r="R91" s="6"/>
      <x:c r="S91" s="6"/>
      <x:c r="T91" s="6"/>
      <x:c r="U91" s="6"/>
      <x:c r="V91" s="6"/>
      <x:c r="W91" s="6"/>
      <x:c r="X91" s="6"/>
      <x:c r="Y91" s="6"/>
      <x:c r="Z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  <x:c r="Q92" s="6"/>
      <x:c r="R92" s="6"/>
      <x:c r="S92" s="6"/>
      <x:c r="T92" s="6"/>
      <x:c r="U92" s="6"/>
      <x:c r="V92" s="6"/>
      <x:c r="W92" s="6"/>
      <x:c r="X92" s="6"/>
      <x:c r="Y92" s="6"/>
      <x:c r="Z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  <x:c r="Q93" s="6"/>
      <x:c r="R93" s="6"/>
      <x:c r="S93" s="6"/>
      <x:c r="T93" s="6"/>
      <x:c r="U93" s="6"/>
      <x:c r="V93" s="6"/>
      <x:c r="W93" s="6"/>
      <x:c r="X93" s="6"/>
      <x:c r="Y93" s="6"/>
      <x:c r="Z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  <x:c r="Q94" s="6"/>
      <x:c r="R94" s="6"/>
      <x:c r="S94" s="6"/>
      <x:c r="T94" s="6"/>
      <x:c r="U94" s="6"/>
      <x:c r="V94" s="6"/>
      <x:c r="W94" s="6"/>
      <x:c r="X94" s="6"/>
      <x:c r="Y94" s="6"/>
      <x:c r="Z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  <x:c r="Q95" s="6"/>
      <x:c r="R95" s="6"/>
      <x:c r="S95" s="6"/>
      <x:c r="T95" s="6"/>
      <x:c r="U95" s="6"/>
      <x:c r="V95" s="6"/>
      <x:c r="W95" s="6"/>
      <x:c r="X95" s="6"/>
      <x:c r="Y95" s="6"/>
      <x:c r="Z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  <x:c r="Q96" s="6"/>
      <x:c r="R96" s="6"/>
      <x:c r="S96" s="6"/>
      <x:c r="T96" s="6"/>
      <x:c r="U96" s="6"/>
      <x:c r="V96" s="6"/>
      <x:c r="W96" s="6"/>
      <x:c r="X96" s="6"/>
      <x:c r="Y96" s="6"/>
      <x:c r="Z96" s="6"/>
    </x:row>
  </x:sheetData>
  <x:mergeCells>
    <x:mergeCell ref="A1:X2"/>
    <x:mergeCell ref="A3:X4"/>
  </x:mergeCells>
  <x:dataValidations count="2">
    <x:dataValidation type="whole" errorStyle="stop" operator="between" showErrorMessage="1" errorTitle="Invalid value" error="Enter a whole number between 0 and 100000." sqref="H6:I18">
      <x:formula1>0</x:formula1>
      <x:formula2>100000</x:formula2>
    </x:dataValidation>
    <x:dataValidation type="decimal" errorStyle="stop" operator="between" showErrorMessage="1" errorTitle="Invalid value" error="Enter a decimal between 0 and 5000000." sqref="D6:G18">
      <x:formula1>0</x:formula1>
      <x:formula2>5000000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860000610351562" hidden="0" customWidth="1"/>
    <x:col min="2" max="2" width="19.290000915527344" hidden="0" customWidth="1"/>
    <x:col min="3" max="3" width="19.290000915527344" hidden="0" customWidth="1"/>
    <x:col min="4" max="4" width="19.290000915527344" hidden="0" customWidth="1"/>
    <x:col min="5" max="5" width="19.290000915527344" hidden="0" customWidth="1"/>
    <x:col min="6" max="6" width="19.290000915527344" hidden="0" customWidth="1"/>
    <x:col min="7" max="7" width="19.290000915527344" hidden="0" customWidth="1"/>
    <x:col min="8" max="8" width="19.290000915527344" hidden="0" customWidth="1"/>
    <x:col min="9" max="9" width="19.290000915527344" hidden="0" customWidth="1"/>
    <x:col min="10" max="10" width="19.290000915527344" hidden="0" customWidth="1"/>
    <x:col min="11" max="11" width="19.290000915527344" hidden="0" customWidth="1"/>
    <x:col min="12" max="12" width="19.290000915527344" hidden="0" customWidth="1"/>
  </x:cols>
  <x:sheetData>
    <x:row r="1" ht="25.5" customHeight="1">
      <x:c r="A1" s="56" t="str">
        <x:v>Dashboard</x:v>
      </x:c>
      <x:c r="B1" s="32"/>
      <x:c r="C1" s="32"/>
      <x:c r="D1" s="32"/>
      <x:c r="E1" s="32"/>
      <x:c r="F1" s="32"/>
      <x:c r="G1" s="32"/>
      <x:c r="H1" s="32"/>
      <x:c r="I1" s="32"/>
      <x:c r="J1" s="80"/>
      <x:c r="K1" s="6"/>
      <x:c r="L1" s="6"/>
    </x:row>
    <x:row r="2" ht="25.5" customHeight="1">
      <x:c r="A2" s="57"/>
      <x:c r="B2" s="18"/>
      <x:c r="C2" s="18"/>
      <x:c r="D2" s="18"/>
      <x:c r="E2" s="18"/>
      <x:c r="F2" s="18"/>
      <x:c r="G2" s="18"/>
      <x:c r="H2" s="18"/>
      <x:c r="I2" s="18"/>
      <x:c r="J2" s="81"/>
      <x:c r="K2" s="6"/>
      <x:c r="L2" s="6"/>
    </x:row>
    <x:row r="3" ht="19.5" customHeight="1">
      <x:c r="A3" s="58" t="str">
        <x:v>Snapshot of the most recent weekly trend with KPI and review targets.</x:v>
      </x:c>
      <x:c r="B3" s="26"/>
      <x:c r="C3" s="26"/>
      <x:c r="D3" s="26"/>
      <x:c r="E3" s="26"/>
      <x:c r="F3" s="26"/>
      <x:c r="G3" s="26"/>
      <x:c r="H3" s="26"/>
      <x:c r="I3" s="26"/>
      <x:c r="J3" s="82"/>
      <x:c r="K3" s="6"/>
      <x:c r="L3" s="6"/>
    </x:row>
    <x:row r="4" ht="19.5" customHeight="1">
      <x:c r="A4" s="59"/>
      <x:c r="B4" s="38"/>
      <x:c r="C4" s="38"/>
      <x:c r="D4" s="38"/>
      <x:c r="E4" s="38"/>
      <x:c r="F4" s="38"/>
      <x:c r="G4" s="38"/>
      <x:c r="H4" s="38"/>
      <x:c r="I4" s="38"/>
      <x:c r="J4" s="83"/>
      <x:c r="K4" s="6"/>
      <x:c r="L4" s="6"/>
    </x:row>
    <x:row r="5">
      <x:c r="A5" s="6"/>
      <x:c r="B5" s="6"/>
      <x:c r="C5" s="6"/>
      <x:c r="D5" s="6"/>
      <x:c r="E5" s="6"/>
      <x:c r="F5" s="6"/>
      <x:c r="G5" s="6"/>
      <x:c r="H5" s="6"/>
      <x:c r="I5" s="6"/>
      <x:c r="J5" s="6"/>
      <x:c r="K5" s="6"/>
      <x:c r="L5" s="6"/>
    </x:row>
    <x:row r="6" ht="18" customHeight="1">
      <x:c r="A6" s="556" t="str">
        <x:v>KPI</x:v>
      </x:c>
      <x:c r="B6" s="556" t="str">
        <x:v>Latest week</x:v>
      </x:c>
      <x:c r="C6" s="6"/>
      <x:c r="D6" s="6"/>
      <x:c r="E6" s="6"/>
      <x:c r="F6" s="6"/>
      <x:c r="G6" s="6"/>
      <x:c r="H6" s="6"/>
      <x:c r="I6" s="6"/>
      <x:c r="J6" s="6"/>
      <x:c r="K6" s="6"/>
      <x:c r="L6" s="6"/>
    </x:row>
    <x:row r="7" ht="22.5" customHeight="1">
      <x:c r="A7" s="557" t="str">
        <x:v>Week start</x:v>
      </x:c>
      <x:c r="B7" s="562" t="n">
        <x:f>INDEX(Weekly_Input!A:A,LOOKUP(2,1/(Weekly_Input!$A$6:$A$18&lt;&gt;""),ROW(Weekly_Input!$A$6:$A$18)))</x:f>
        <x:v>46111</x:v>
      </x:c>
      <x:c r="C7" s="6"/>
      <x:c r="D7" s="6"/>
      <x:c r="E7" s="6"/>
      <x:c r="F7" s="6"/>
      <x:c r="G7" s="6"/>
      <x:c r="H7" s="6"/>
      <x:c r="I7" s="6"/>
      <x:c r="J7" s="6"/>
      <x:c r="K7" s="6"/>
      <x:c r="L7" s="6"/>
    </x:row>
    <x:row r="8" ht="22.5" customHeight="1">
      <x:c r="A8" s="557" t="str">
        <x:v>Net sales</x:v>
      </x:c>
      <x:c r="B8" s="564" t="n">
        <x:f>INDEX(Weekly_Input!D:D,LOOKUP(2,1/(Weekly_Input!$A$6:$A$18&lt;&gt;""),ROW(Weekly_Input!$A$6:$A$18)))</x:f>
        <x:v>329000</x:v>
      </x:c>
      <x:c r="C8" s="6"/>
      <x:c r="D8" s="6"/>
      <x:c r="E8" s="6"/>
      <x:c r="F8" s="6"/>
      <x:c r="G8" s="6"/>
      <x:c r="H8" s="6"/>
      <x:c r="I8" s="6"/>
      <x:c r="J8" s="6"/>
      <x:c r="K8" s="6"/>
      <x:c r="L8" s="6"/>
    </x:row>
    <x:row r="9" ht="22.5" customHeight="1">
      <x:c r="A9" s="557" t="str">
        <x:v>Store EBITDA %</x:v>
      </x:c>
      <x:c r="B9" s="566" t="n">
        <x:f>INDEX(Weekly_Input!V:V,LOOKUP(2,1/(Weekly_Input!$A$6:$A$18&lt;&gt;""),ROW(Weekly_Input!$A$6:$A$18)))</x:f>
        <x:v>0.3092401215805471</x:v>
      </x:c>
      <x:c r="C9" s="6"/>
      <x:c r="D9" s="6"/>
      <x:c r="E9" s="6"/>
      <x:c r="F9" s="6"/>
      <x:c r="G9" s="6"/>
      <x:c r="H9" s="6"/>
      <x:c r="I9" s="6"/>
      <x:c r="J9" s="6"/>
      <x:c r="K9" s="6"/>
      <x:c r="L9" s="6"/>
    </x:row>
    <x:row r="10" ht="22.5" customHeight="1">
      <x:c r="A10" s="557" t="str">
        <x:v>Delivery mix %</x:v>
      </x:c>
      <x:c r="B10" s="566" t="n">
        <x:f>INDEX(Weekly_Input!W:W,LOOKUP(2,1/(Weekly_Input!$A$6:$A$18&lt;&gt;""),ROW(Weekly_Input!$A$6:$A$18)))</x:f>
        <x:v>0.2237082066869301</x:v>
      </x:c>
      <x:c r="C10" s="6"/>
      <x:c r="D10" s="6"/>
      <x:c r="E10" s="6"/>
      <x:c r="F10" s="6"/>
      <x:c r="G10" s="6"/>
      <x:c r="H10" s="6"/>
      <x:c r="I10" s="6"/>
      <x:c r="J10" s="6"/>
      <x:c r="K10" s="6"/>
      <x:c r="L10" s="6"/>
    </x:row>
    <x:row r="11" ht="22.5" customHeight="1">
      <x:c r="A11" s="557" t="str">
        <x:v>APC</x:v>
      </x:c>
      <x:c r="B11" s="568" t="n">
        <x:f>INDEX(Weekly_Input!J:J,LOOKUP(2,1/(Weekly_Input!$A$6:$A$18&lt;&gt;""),ROW(Weekly_Input!$A$6:$A$18)))</x:f>
        <x:v>67.41803278688525</x:v>
      </x:c>
      <x:c r="C11" s="6"/>
      <x:c r="D11" s="6"/>
      <x:c r="E11" s="6"/>
      <x:c r="F11" s="6"/>
      <x:c r="G11" s="6"/>
      <x:c r="H11" s="6"/>
      <x:c r="I11" s="6"/>
      <x:c r="J11" s="6"/>
      <x:c r="K11" s="6"/>
      <x:c r="L11" s="6"/>
    </x:row>
    <x:row r="12" ht="22.5" customHeight="1">
      <x:c r="A12" s="557" t="str">
        <x:v>Delivery AOV</x:v>
      </x:c>
      <x:c r="B12" s="568" t="n">
        <x:f>INDEX(Weekly_Input!K:K,LOOKUP(2,1/(Weekly_Input!$A$6:$A$18&lt;&gt;""),ROW(Weekly_Input!$A$6:$A$18)))</x:f>
        <x:v>34.074074074074076</x:v>
      </x:c>
      <x:c r="C12" s="6"/>
      <x:c r="D12" s="6"/>
      <x:c r="E12" s="6"/>
      <x:c r="F12" s="6"/>
      <x:c r="G12" s="6"/>
      <x:c r="H12" s="6"/>
      <x:c r="I12" s="6"/>
      <x:c r="J12" s="6"/>
      <x:c r="K12" s="6"/>
      <x:c r="L12" s="6"/>
    </x:row>
    <x:row r="13">
      <x:c r="A13" s="6"/>
      <x:c r="B13" s="6"/>
      <x:c r="C13" s="6"/>
      <x:c r="D13" s="6"/>
      <x:c r="E13" s="6"/>
      <x:c r="F13" s="6"/>
      <x:c r="G13" s="6"/>
      <x:c r="H13" s="6"/>
      <x:c r="I13" s="6"/>
      <x:c r="J13" s="6"/>
      <x:c r="K13" s="6"/>
      <x:c r="L13" s="6"/>
    </x:row>
    <x:row r="14">
      <x:c r="A14" s="6"/>
      <x:c r="B14" s="6"/>
      <x:c r="C14" s="6"/>
      <x:c r="D14" s="6"/>
      <x:c r="E14" s="6"/>
      <x:c r="F14" s="6"/>
      <x:c r="G14" s="6"/>
      <x:c r="H14" s="6"/>
      <x:c r="I14" s="6"/>
      <x:c r="J14" s="6"/>
      <x:c r="K14" s="6"/>
      <x:c r="L14" s="6"/>
    </x:row>
    <x:row r="15">
      <x:c r="A15" s="6"/>
      <x:c r="B15" s="6"/>
      <x:c r="C15" s="6"/>
      <x:c r="D15" s="6"/>
      <x:c r="E15" s="6"/>
      <x:c r="F15" s="6"/>
      <x:c r="G15" s="6"/>
      <x:c r="H15" s="6"/>
      <x:c r="I15" s="6"/>
      <x:c r="J15" s="6"/>
      <x:c r="K15" s="6"/>
      <x:c r="L15" s="6"/>
    </x:row>
    <x:row r="16" ht="18" customHeight="1">
      <x:c r="A16" s="556" t="str">
        <x:v>Week</x:v>
      </x:c>
      <x:c r="B16" s="556" t="str">
        <x:v>Net sales</x:v>
      </x:c>
      <x:c r="C16" s="556" t="str">
        <x:v>Store EBITDA</x:v>
      </x:c>
      <x:c r="D16" s="6"/>
      <x:c r="E16" s="6"/>
      <x:c r="F16" s="6"/>
      <x:c r="G16" s="6"/>
      <x:c r="H16" s="6"/>
      <x:c r="I16" s="6"/>
      <x:c r="J16" s="6"/>
      <x:c r="K16" s="6"/>
      <x:c r="L16" s="6"/>
    </x:row>
    <x:row r="17" ht="19.5" customHeight="1">
      <x:c r="A17" s="660" t="str">
        <x:f>TEXT(Weekly_Input!A6,"dd-mmm")</x:f>
        <x:v>05-Jan</x:v>
      </x:c>
      <x:c r="B17" s="664" t="n">
        <x:f>Weekly_Input!D6</x:f>
        <x:v>239000</x:v>
      </x:c>
      <x:c r="C17" s="664" t="n">
        <x:f>Weekly_Input!U6</x:f>
        <x:v>64900</x:v>
      </x:c>
      <x:c r="D17" s="6"/>
      <x:c r="E17" s="6"/>
      <x:c r="F17" s="6"/>
      <x:c r="G17" s="6"/>
      <x:c r="H17" s="6"/>
      <x:c r="I17" s="6"/>
      <x:c r="J17" s="6"/>
      <x:c r="K17" s="6"/>
      <x:c r="L17" s="6"/>
    </x:row>
    <x:row r="18" ht="19.5" customHeight="1">
      <x:c r="A18" s="660" t="str">
        <x:f>TEXT(Weekly_Input!A7,"dd-mmm")</x:f>
        <x:v>12-Jan</x:v>
      </x:c>
      <x:c r="B18" s="664" t="n">
        <x:f>Weekly_Input!D7</x:f>
        <x:v>246500</x:v>
      </x:c>
      <x:c r="C18" s="664" t="n">
        <x:f>Weekly_Input!U7</x:f>
        <x:v>67970</x:v>
      </x:c>
      <x:c r="D18" s="6"/>
      <x:c r="E18" s="6"/>
      <x:c r="F18" s="6"/>
      <x:c r="G18" s="6"/>
      <x:c r="H18" s="6"/>
      <x:c r="I18" s="6"/>
      <x:c r="J18" s="6"/>
      <x:c r="K18" s="6"/>
      <x:c r="L18" s="6"/>
    </x:row>
    <x:row r="19" ht="19.5" customHeight="1">
      <x:c r="A19" s="660" t="str">
        <x:f>TEXT(Weekly_Input!A8,"dd-mmm")</x:f>
        <x:v>19-Jan</x:v>
      </x:c>
      <x:c r="B19" s="664" t="n">
        <x:f>Weekly_Input!D8</x:f>
        <x:v>254000</x:v>
      </x:c>
      <x:c r="C19" s="664" t="n">
        <x:f>Weekly_Input!U8</x:f>
        <x:v>71040</x:v>
      </x:c>
      <x:c r="D19" s="6"/>
      <x:c r="E19" s="6"/>
      <x:c r="F19" s="6"/>
      <x:c r="G19" s="6"/>
      <x:c r="H19" s="6"/>
      <x:c r="I19" s="6"/>
      <x:c r="J19" s="6"/>
      <x:c r="K19" s="6"/>
      <x:c r="L19" s="6"/>
    </x:row>
    <x:row r="20" ht="19.5" customHeight="1">
      <x:c r="A20" s="660" t="str">
        <x:f>TEXT(Weekly_Input!A9,"dd-mmm")</x:f>
        <x:v>26-Jan</x:v>
      </x:c>
      <x:c r="B20" s="664" t="n">
        <x:f>Weekly_Input!D9</x:f>
        <x:v>261500</x:v>
      </x:c>
      <x:c r="C20" s="664" t="n">
        <x:f>Weekly_Input!U9</x:f>
        <x:v>74110</x:v>
      </x:c>
      <x:c r="D20" s="6"/>
      <x:c r="E20" s="6"/>
      <x:c r="F20" s="6"/>
      <x:c r="G20" s="6"/>
      <x:c r="H20" s="6"/>
      <x:c r="I20" s="6"/>
      <x:c r="J20" s="6"/>
      <x:c r="K20" s="6"/>
      <x:c r="L20" s="6"/>
    </x:row>
    <x:row r="21" ht="19.5" customHeight="1">
      <x:c r="A21" s="660" t="str">
        <x:f>TEXT(Weekly_Input!A10,"dd-mmm")</x:f>
        <x:v>02-Feb</x:v>
      </x:c>
      <x:c r="B21" s="664" t="n">
        <x:f>Weekly_Input!D10</x:f>
        <x:v>269000</x:v>
      </x:c>
      <x:c r="C21" s="664" t="n">
        <x:f>Weekly_Input!U10</x:f>
        <x:v>77180</x:v>
      </x:c>
      <x:c r="D21" s="6"/>
      <x:c r="E21" s="6"/>
      <x:c r="F21" s="6"/>
      <x:c r="G21" s="6"/>
      <x:c r="H21" s="6"/>
      <x:c r="I21" s="6"/>
      <x:c r="J21" s="6"/>
      <x:c r="K21" s="6"/>
      <x:c r="L21" s="6"/>
    </x:row>
    <x:row r="22" ht="19.5" customHeight="1">
      <x:c r="A22" s="660" t="str">
        <x:f>TEXT(Weekly_Input!A11,"dd-mmm")</x:f>
        <x:v>09-Feb</x:v>
      </x:c>
      <x:c r="B22" s="664" t="n">
        <x:f>Weekly_Input!D11</x:f>
        <x:v>276500</x:v>
      </x:c>
      <x:c r="C22" s="664" t="n">
        <x:f>Weekly_Input!U11</x:f>
        <x:v>80250</x:v>
      </x:c>
      <x:c r="D22" s="6"/>
      <x:c r="E22" s="6"/>
      <x:c r="F22" s="6"/>
      <x:c r="G22" s="6"/>
      <x:c r="H22" s="6"/>
      <x:c r="I22" s="6"/>
      <x:c r="J22" s="6"/>
      <x:c r="K22" s="6"/>
      <x:c r="L22" s="6"/>
    </x:row>
    <x:row r="23" ht="19.5" customHeight="1">
      <x:c r="A23" s="660" t="str">
        <x:f>TEXT(Weekly_Input!A12,"dd-mmm")</x:f>
        <x:v>16-Feb</x:v>
      </x:c>
      <x:c r="B23" s="664" t="n">
        <x:f>Weekly_Input!D12</x:f>
        <x:v>284000</x:v>
      </x:c>
      <x:c r="C23" s="664" t="n">
        <x:f>Weekly_Input!U12</x:f>
        <x:v>83320</x:v>
      </x:c>
      <x:c r="D23" s="6"/>
      <x:c r="E23" s="6"/>
      <x:c r="F23" s="6"/>
      <x:c r="G23" s="6"/>
      <x:c r="H23" s="6"/>
      <x:c r="I23" s="6"/>
      <x:c r="J23" s="6"/>
      <x:c r="K23" s="6"/>
      <x:c r="L23" s="6"/>
    </x:row>
    <x:row r="24" ht="19.5" customHeight="1">
      <x:c r="A24" s="660" t="str">
        <x:f>TEXT(Weekly_Input!A13,"dd-mmm")</x:f>
        <x:v>23-Feb</x:v>
      </x:c>
      <x:c r="B24" s="664" t="n">
        <x:f>Weekly_Input!D13</x:f>
        <x:v>291500</x:v>
      </x:c>
      <x:c r="C24" s="664" t="n">
        <x:f>Weekly_Input!U13</x:f>
        <x:v>86390</x:v>
      </x:c>
      <x:c r="D24" s="6"/>
      <x:c r="E24" s="6"/>
      <x:c r="F24" s="6"/>
      <x:c r="G24" s="6"/>
      <x:c r="H24" s="6"/>
      <x:c r="I24" s="6"/>
      <x:c r="J24" s="6"/>
      <x:c r="K24" s="6"/>
      <x:c r="L24" s="6"/>
    </x:row>
    <x:row r="25" ht="19.5" customHeight="1">
      <x:c r="A25" s="660" t="str">
        <x:f>TEXT(Weekly_Input!A14,"dd-mmm")</x:f>
        <x:v>02-Mar</x:v>
      </x:c>
      <x:c r="B25" s="664" t="n">
        <x:f>Weekly_Input!D14</x:f>
        <x:v>299000</x:v>
      </x:c>
      <x:c r="C25" s="664" t="n">
        <x:f>Weekly_Input!U14</x:f>
        <x:v>89460</x:v>
      </x:c>
      <x:c r="D25" s="6"/>
      <x:c r="E25" s="6"/>
      <x:c r="F25" s="6"/>
      <x:c r="G25" s="6"/>
      <x:c r="H25" s="6"/>
      <x:c r="I25" s="6"/>
      <x:c r="J25" s="6"/>
      <x:c r="K25" s="6"/>
      <x:c r="L25" s="6"/>
    </x:row>
    <x:row r="26" ht="19.5" customHeight="1">
      <x:c r="A26" s="660" t="str">
        <x:f>TEXT(Weekly_Input!A15,"dd-mmm")</x:f>
        <x:v>09-Mar</x:v>
      </x:c>
      <x:c r="B26" s="664" t="n">
        <x:f>Weekly_Input!D15</x:f>
        <x:v>306500</x:v>
      </x:c>
      <x:c r="C26" s="664" t="n">
        <x:f>Weekly_Input!U15</x:f>
        <x:v>92530</x:v>
      </x:c>
      <x:c r="D26" s="6"/>
      <x:c r="E26" s="6"/>
      <x:c r="F26" s="6"/>
      <x:c r="G26" s="6"/>
      <x:c r="H26" s="6"/>
      <x:c r="I26" s="6"/>
      <x:c r="J26" s="6"/>
      <x:c r="K26" s="6"/>
      <x:c r="L26" s="6"/>
    </x:row>
    <x:row r="27" ht="19.5" customHeight="1">
      <x:c r="A27" s="660" t="str">
        <x:f>TEXT(Weekly_Input!A16,"dd-mmm")</x:f>
        <x:v>16-Mar</x:v>
      </x:c>
      <x:c r="B27" s="664" t="n">
        <x:f>Weekly_Input!D16</x:f>
        <x:v>314000</x:v>
      </x:c>
      <x:c r="C27" s="664" t="n">
        <x:f>Weekly_Input!U16</x:f>
        <x:v>95600</x:v>
      </x:c>
      <x:c r="D27" s="6"/>
      <x:c r="E27" s="6"/>
      <x:c r="F27" s="6"/>
      <x:c r="G27" s="6"/>
      <x:c r="H27" s="6"/>
      <x:c r="I27" s="6"/>
      <x:c r="J27" s="6"/>
      <x:c r="K27" s="6"/>
      <x:c r="L27" s="6"/>
    </x:row>
    <x:row r="28" ht="19.5" customHeight="1">
      <x:c r="A28" s="660" t="str">
        <x:f>TEXT(Weekly_Input!A17,"dd-mmm")</x:f>
        <x:v>23-Mar</x:v>
      </x:c>
      <x:c r="B28" s="664" t="n">
        <x:f>Weekly_Input!D17</x:f>
        <x:v>321500</x:v>
      </x:c>
      <x:c r="C28" s="664" t="n">
        <x:f>Weekly_Input!U17</x:f>
        <x:v>98670</x:v>
      </x:c>
      <x:c r="D28" s="6"/>
      <x:c r="E28" s="6"/>
      <x:c r="F28" s="6"/>
      <x:c r="G28" s="6"/>
      <x:c r="H28" s="6"/>
      <x:c r="I28" s="6"/>
      <x:c r="J28" s="6"/>
      <x:c r="K28" s="6"/>
      <x:c r="L28" s="6"/>
    </x:row>
    <x:row r="29" ht="19.5" customHeight="1">
      <x:c r="A29" s="660" t="str">
        <x:f>TEXT(Weekly_Input!A18,"dd-mmm")</x:f>
        <x:v>30-Mar</x:v>
      </x:c>
      <x:c r="B29" s="664" t="n">
        <x:f>Weekly_Input!D18</x:f>
        <x:v>329000</x:v>
      </x:c>
      <x:c r="C29" s="664" t="n">
        <x:f>Weekly_Input!U18</x:f>
        <x:v>101740</x:v>
      </x:c>
      <x:c r="D29" s="6"/>
      <x:c r="E29" s="6"/>
      <x:c r="F29" s="6"/>
      <x:c r="G29" s="6"/>
      <x:c r="H29" s="6"/>
      <x:c r="I29" s="6"/>
      <x:c r="J29" s="6"/>
      <x:c r="K29" s="6"/>
      <x:c r="L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</x:row>
  </x:sheetData>
  <x:mergeCells>
    <x:mergeCell ref="A1:J2"/>
    <x:mergeCell ref="A3:J4"/>
  </x:mergeCells>
  <x:pageMargins left="0.7" right="0.7" top="0.75" bottom="0.75" header="0.3" footer="0.3"/>
  <x:drawing xmlns:r="http://schemas.openxmlformats.org/officeDocument/2006/relationships" r:id="Ra61d7bbde682446f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43000030517578" hidden="0" customWidth="1"/>
    <x:col min="2" max="2" width="16.43000030517578" hidden="0" customWidth="1"/>
    <x:col min="3" max="3" width="59.290000915527344" hidden="0" customWidth="1"/>
  </x:cols>
  <x:sheetData>
    <x:row r="1" ht="25.5" customHeight="1">
      <x:c r="A1" s="56" t="str">
        <x:v>Checks</x:v>
      </x:c>
      <x:c r="B1" s="32"/>
      <x:c r="C1" s="32"/>
      <x:c r="D1" s="32"/>
      <x:c r="E1" s="32"/>
      <x:c r="F1" s="80"/>
      <x:c r="G1" s="6"/>
      <x:c r="H1" s="6"/>
    </x:row>
    <x:row r="2" ht="25.5" customHeight="1">
      <x:c r="A2" s="57"/>
      <x:c r="B2" s="18"/>
      <x:c r="C2" s="18"/>
      <x:c r="D2" s="18"/>
      <x:c r="E2" s="18"/>
      <x:c r="F2" s="81"/>
      <x:c r="G2" s="6"/>
      <x:c r="H2" s="6"/>
    </x:row>
    <x:row r="3" ht="19.5" customHeight="1">
      <x:c r="A3" s="58" t="str">
        <x:v>Weekly integrity checks before finance or management review.</x:v>
      </x:c>
      <x:c r="B3" s="26"/>
      <x:c r="C3" s="26"/>
      <x:c r="D3" s="26"/>
      <x:c r="E3" s="26"/>
      <x:c r="F3" s="82"/>
      <x:c r="G3" s="6"/>
      <x:c r="H3" s="6"/>
    </x:row>
    <x:row r="4" ht="19.5" customHeight="1">
      <x:c r="A4" s="59"/>
      <x:c r="B4" s="38"/>
      <x:c r="C4" s="38"/>
      <x:c r="D4" s="38"/>
      <x:c r="E4" s="38"/>
      <x:c r="F4" s="83"/>
      <x:c r="G4" s="6"/>
      <x:c r="H4" s="6"/>
    </x:row>
    <x:row r="5">
      <x:c r="A5" s="6"/>
      <x:c r="B5" s="6"/>
      <x:c r="C5" s="6"/>
      <x:c r="D5" s="6"/>
      <x:c r="E5" s="6"/>
      <x:c r="F5" s="6"/>
      <x:c r="G5" s="6"/>
      <x:c r="H5" s="6"/>
    </x:row>
    <x:row r="6" ht="18" customHeight="1">
      <x:c r="A6" s="556" t="str">
        <x:v>Review test</x:v>
      </x:c>
      <x:c r="B6" s="556" t="str">
        <x:v>Status</x:v>
      </x:c>
      <x:c r="C6" s="556" t="str">
        <x:v>Comment</x:v>
      </x:c>
      <x:c r="D6" s="6"/>
      <x:c r="E6" s="6"/>
      <x:c r="F6" s="6"/>
      <x:c r="G6" s="6"/>
      <x:c r="H6" s="6"/>
    </x:row>
    <x:row r="7" ht="19.5" customHeight="1">
      <x:c r="A7" s="660" t="str">
        <x:v>Sales mix equals net sales</x:v>
      </x:c>
      <x:c r="B7" s="716" t="str">
        <x:f>IF(COUNTIF(Weekly_Input!X6:X18,"REVIEW")=0,"PASS","REVIEW")</x:f>
        <x:v>PASS</x:v>
      </x:c>
      <x:c r="C7" s="660" t="str">
        <x:v>Dine-in + takeaway + delivery should match total net sales.</x:v>
      </x:c>
      <x:c r="D7" s="6"/>
      <x:c r="E7" s="6"/>
      <x:c r="F7" s="6"/>
      <x:c r="G7" s="6"/>
      <x:c r="H7" s="6"/>
    </x:row>
    <x:row r="8" ht="19.5" customHeight="1">
      <x:c r="A8" s="660" t="str">
        <x:v>No blank week start dates in populated rows</x:v>
      </x:c>
      <x:c r="B8" s="716" t="str">
        <x:f>IF(COUNTIFS(Weekly_Input!D6:D18,"&gt;0",Weekly_Input!A6:A18,"")=0,"PASS","REVIEW")</x:f>
        <x:v>PASS</x:v>
      </x:c>
      <x:c r="C8" s="660" t="str">
        <x:v>Each completed weekly row should have a start date.</x:v>
      </x:c>
      <x:c r="D8" s="6"/>
      <x:c r="E8" s="6"/>
      <x:c r="F8" s="6"/>
      <x:c r="G8" s="6"/>
      <x:c r="H8" s="6"/>
    </x:row>
    <x:row r="9" ht="19.5" customHeight="1">
      <x:c r="A9" s="660" t="str">
        <x:v>No negative store EBITDA weeks</x:v>
      </x:c>
      <x:c r="B9" s="716" t="str">
        <x:f>IF(COUNTIF(Weekly_Input!U6:U18,"&lt;0")=0,"PASS","REVIEW")</x:f>
        <x:v>PASS</x:v>
      </x:c>
      <x:c r="C9" s="660" t="str">
        <x:v>Escalate operational causes before the issue compounds.</x:v>
      </x:c>
      <x:c r="D9" s="6"/>
      <x:c r="E9" s="6"/>
      <x:c r="F9" s="6"/>
      <x:c r="G9" s="6"/>
      <x:c r="H9" s="6"/>
    </x:row>
    <x:row r="10" ht="19.5" customHeight="1">
      <x:c r="A10" s="660" t="str">
        <x:v>Latest week beats target EBITDA %</x:v>
      </x:c>
      <x:c r="B10" s="716" t="str">
        <x:f>IF(B9&gt;=Setup!B11,"PASS","REVIEW")</x:f>
        <x:v>PASS</x:v>
      </x:c>
      <x:c r="C10" s="660" t="str">
        <x:v>Compare to target in Setup.</x:v>
      </x:c>
      <x:c r="D10" s="6"/>
      <x:c r="E10" s="6"/>
      <x:c r="F10" s="6"/>
      <x:c r="G10" s="6"/>
      <x:c r="H10" s="6"/>
    </x:row>
    <x:row r="11">
      <x:c r="A11" s="6"/>
      <x:c r="B11" s="6"/>
      <x:c r="C11" s="6"/>
      <x:c r="D11" s="6"/>
      <x:c r="E11" s="6"/>
      <x:c r="F11" s="6"/>
      <x:c r="G11" s="6"/>
      <x:c r="H11" s="6"/>
    </x:row>
    <x:row r="12">
      <x:c r="A12" s="6"/>
      <x:c r="B12" s="6"/>
      <x:c r="C12" s="6"/>
      <x:c r="D12" s="6"/>
      <x:c r="E12" s="6"/>
      <x:c r="F12" s="6"/>
      <x:c r="G12" s="6"/>
      <x:c r="H12" s="6"/>
    </x:row>
    <x:row r="13">
      <x:c r="A13" s="6"/>
      <x:c r="B13" s="6"/>
      <x:c r="C13" s="6"/>
      <x:c r="D13" s="6"/>
      <x:c r="E13" s="6"/>
      <x:c r="F13" s="6"/>
      <x:c r="G13" s="6"/>
      <x:c r="H13" s="6"/>
    </x:row>
    <x:row r="14">
      <x:c r="A14" s="6"/>
      <x:c r="B14" s="6"/>
      <x:c r="C14" s="6"/>
      <x:c r="D14" s="6"/>
      <x:c r="E14" s="6"/>
      <x:c r="F14" s="6"/>
      <x:c r="G14" s="6"/>
      <x:c r="H14" s="6"/>
    </x:row>
    <x:row r="15">
      <x:c r="A15" s="6"/>
      <x:c r="B15" s="6"/>
      <x:c r="C15" s="6"/>
      <x:c r="D15" s="6"/>
      <x:c r="E15" s="6"/>
      <x:c r="F15" s="6"/>
      <x:c r="G15" s="6"/>
      <x:c r="H15" s="6"/>
    </x:row>
    <x:row r="16">
      <x:c r="A16" s="6"/>
      <x:c r="B16" s="6"/>
      <x:c r="C16" s="6"/>
      <x:c r="D16" s="6"/>
      <x:c r="E16" s="6"/>
      <x:c r="F16" s="6"/>
      <x:c r="G16" s="6"/>
      <x:c r="H16" s="6"/>
    </x:row>
    <x:row r="17">
      <x:c r="A17" s="6"/>
      <x:c r="B17" s="6"/>
      <x:c r="C17" s="6"/>
      <x:c r="D17" s="6"/>
      <x:c r="E17" s="6"/>
      <x:c r="F17" s="6"/>
      <x:c r="G17" s="6"/>
      <x:c r="H17" s="6"/>
    </x:row>
    <x:row r="18">
      <x:c r="A18" s="6"/>
      <x:c r="B18" s="6"/>
      <x:c r="C18" s="6"/>
      <x:c r="D18" s="6"/>
      <x:c r="E18" s="6"/>
      <x:c r="F18" s="6"/>
      <x:c r="G18" s="6"/>
      <x:c r="H18" s="6"/>
    </x:row>
    <x:row r="19">
      <x:c r="A19" s="6"/>
      <x:c r="B19" s="6"/>
      <x:c r="C19" s="6"/>
      <x:c r="D19" s="6"/>
      <x:c r="E19" s="6"/>
      <x:c r="F19" s="6"/>
      <x:c r="G19" s="6"/>
      <x:c r="H19" s="6"/>
    </x:row>
    <x:row r="20">
      <x:c r="A20" s="6"/>
      <x:c r="B20" s="6"/>
      <x:c r="C20" s="6"/>
      <x:c r="D20" s="6"/>
      <x:c r="E20" s="6"/>
      <x:c r="F20" s="6"/>
      <x:c r="G20" s="6"/>
      <x:c r="H20" s="6"/>
    </x:row>
    <x:row r="21">
      <x:c r="A21" s="6"/>
      <x:c r="B21" s="6"/>
      <x:c r="C21" s="6"/>
      <x:c r="D21" s="6"/>
      <x:c r="E21" s="6"/>
      <x:c r="F21" s="6"/>
      <x:c r="G21" s="6"/>
      <x:c r="H21" s="6"/>
    </x:row>
    <x:row r="22">
      <x:c r="A22" s="6"/>
      <x:c r="B22" s="6"/>
      <x:c r="C22" s="6"/>
      <x:c r="D22" s="6"/>
      <x:c r="E22" s="6"/>
      <x:c r="F22" s="6"/>
      <x:c r="G22" s="6"/>
      <x:c r="H22" s="6"/>
    </x:row>
    <x:row r="23">
      <x:c r="A23" s="6"/>
      <x:c r="B23" s="6"/>
      <x:c r="C23" s="6"/>
      <x:c r="D23" s="6"/>
      <x:c r="E23" s="6"/>
      <x:c r="F23" s="6"/>
      <x:c r="G23" s="6"/>
      <x:c r="H23" s="6"/>
    </x:row>
    <x:row r="24">
      <x:c r="A24" s="6"/>
      <x:c r="B24" s="6"/>
      <x:c r="C24" s="6"/>
      <x:c r="D24" s="6"/>
      <x:c r="E24" s="6"/>
      <x:c r="F24" s="6"/>
      <x:c r="G24" s="6"/>
      <x:c r="H24" s="6"/>
    </x:row>
    <x:row r="25">
      <x:c r="A25" s="6"/>
      <x:c r="B25" s="6"/>
      <x:c r="C25" s="6"/>
      <x:c r="D25" s="6"/>
      <x:c r="E25" s="6"/>
      <x:c r="F25" s="6"/>
      <x:c r="G25" s="6"/>
      <x:c r="H25" s="6"/>
    </x:row>
    <x:row r="26">
      <x:c r="A26" s="6"/>
      <x:c r="B26" s="6"/>
      <x:c r="C26" s="6"/>
      <x:c r="D26" s="6"/>
      <x:c r="E26" s="6"/>
      <x:c r="F26" s="6"/>
      <x:c r="G26" s="6"/>
      <x:c r="H26" s="6"/>
    </x:row>
    <x:row r="27">
      <x:c r="A27" s="6"/>
      <x:c r="B27" s="6"/>
      <x:c r="C27" s="6"/>
      <x:c r="D27" s="6"/>
      <x:c r="E27" s="6"/>
      <x:c r="F27" s="6"/>
      <x:c r="G27" s="6"/>
      <x:c r="H27" s="6"/>
    </x:row>
    <x:row r="28">
      <x:c r="A28" s="6"/>
      <x:c r="B28" s="6"/>
      <x:c r="C28" s="6"/>
      <x:c r="D28" s="6"/>
      <x:c r="E28" s="6"/>
      <x:c r="F28" s="6"/>
      <x:c r="G28" s="6"/>
      <x:c r="H28" s="6"/>
    </x:row>
    <x:row r="29">
      <x:c r="A29" s="6"/>
      <x:c r="B29" s="6"/>
      <x:c r="C29" s="6"/>
      <x:c r="D29" s="6"/>
      <x:c r="E29" s="6"/>
      <x:c r="F29" s="6"/>
      <x:c r="G29" s="6"/>
      <x:c r="H29" s="6"/>
    </x:row>
    <x:row r="30">
      <x:c r="A30" s="6"/>
      <x:c r="B30" s="6"/>
      <x:c r="C30" s="6"/>
      <x:c r="D30" s="6"/>
      <x:c r="E30" s="6"/>
      <x:c r="F30" s="6"/>
      <x:c r="G30" s="6"/>
      <x:c r="H30" s="6"/>
    </x:row>
    <x:row r="31">
      <x:c r="A31" s="6"/>
      <x:c r="B31" s="6"/>
      <x:c r="C31" s="6"/>
      <x:c r="D31" s="6"/>
      <x:c r="E31" s="6"/>
      <x:c r="F31" s="6"/>
      <x:c r="G31" s="6"/>
      <x:c r="H31" s="6"/>
    </x:row>
    <x:row r="32">
      <x:c r="A32" s="6"/>
      <x:c r="B32" s="6"/>
      <x:c r="C32" s="6"/>
      <x:c r="D32" s="6"/>
      <x:c r="E32" s="6"/>
      <x:c r="F32" s="6"/>
      <x:c r="G32" s="6"/>
      <x:c r="H32" s="6"/>
    </x:row>
    <x:row r="33">
      <x:c r="A33" s="6"/>
      <x:c r="B33" s="6"/>
      <x:c r="C33" s="6"/>
      <x:c r="D33" s="6"/>
      <x:c r="E33" s="6"/>
      <x:c r="F33" s="6"/>
      <x:c r="G33" s="6"/>
      <x:c r="H33" s="6"/>
    </x:row>
    <x:row r="34">
      <x:c r="A34" s="6"/>
      <x:c r="B34" s="6"/>
      <x:c r="C34" s="6"/>
      <x:c r="D34" s="6"/>
      <x:c r="E34" s="6"/>
      <x:c r="F34" s="6"/>
      <x:c r="G34" s="6"/>
      <x:c r="H34" s="6"/>
    </x:row>
    <x:row r="35">
      <x:c r="A35" s="6"/>
      <x:c r="B35" s="6"/>
      <x:c r="C35" s="6"/>
      <x:c r="D35" s="6"/>
      <x:c r="E35" s="6"/>
      <x:c r="F35" s="6"/>
      <x:c r="G35" s="6"/>
      <x:c r="H35" s="6"/>
    </x:row>
    <x:row r="36">
      <x:c r="A36" s="6"/>
      <x:c r="B36" s="6"/>
      <x:c r="C36" s="6"/>
      <x:c r="D36" s="6"/>
      <x:c r="E36" s="6"/>
      <x:c r="F36" s="6"/>
      <x:c r="G36" s="6"/>
      <x:c r="H36" s="6"/>
    </x:row>
    <x:row r="37">
      <x:c r="A37" s="6"/>
      <x:c r="B37" s="6"/>
      <x:c r="C37" s="6"/>
      <x:c r="D37" s="6"/>
      <x:c r="E37" s="6"/>
      <x:c r="F37" s="6"/>
      <x:c r="G37" s="6"/>
      <x:c r="H37" s="6"/>
    </x:row>
    <x:row r="38">
      <x:c r="A38" s="6"/>
      <x:c r="B38" s="6"/>
      <x:c r="C38" s="6"/>
      <x:c r="D38" s="6"/>
      <x:c r="E38" s="6"/>
      <x:c r="F38" s="6"/>
      <x:c r="G38" s="6"/>
      <x:c r="H38" s="6"/>
    </x:row>
    <x:row r="39">
      <x:c r="A39" s="6"/>
      <x:c r="B39" s="6"/>
      <x:c r="C39" s="6"/>
      <x:c r="D39" s="6"/>
      <x:c r="E39" s="6"/>
      <x:c r="F39" s="6"/>
      <x:c r="G39" s="6"/>
      <x:c r="H39" s="6"/>
    </x:row>
    <x:row r="40">
      <x:c r="A40" s="6"/>
      <x:c r="B40" s="6"/>
      <x:c r="C40" s="6"/>
      <x:c r="D40" s="6"/>
      <x:c r="E40" s="6"/>
      <x:c r="F40" s="6"/>
      <x:c r="G40" s="6"/>
      <x:c r="H40" s="6"/>
    </x:row>
    <x:row r="41">
      <x:c r="A41" s="6"/>
      <x:c r="B41" s="6"/>
      <x:c r="C41" s="6"/>
      <x:c r="D41" s="6"/>
      <x:c r="E41" s="6"/>
      <x:c r="F41" s="6"/>
      <x:c r="G41" s="6"/>
      <x:c r="H41" s="6"/>
    </x:row>
    <x:row r="42">
      <x:c r="A42" s="6"/>
      <x:c r="B42" s="6"/>
      <x:c r="C42" s="6"/>
      <x:c r="D42" s="6"/>
      <x:c r="E42" s="6"/>
      <x:c r="F42" s="6"/>
      <x:c r="G42" s="6"/>
      <x:c r="H42" s="6"/>
    </x:row>
    <x:row r="43">
      <x:c r="A43" s="6"/>
      <x:c r="B43" s="6"/>
      <x:c r="C43" s="6"/>
      <x:c r="D43" s="6"/>
      <x:c r="E43" s="6"/>
      <x:c r="F43" s="6"/>
      <x:c r="G43" s="6"/>
      <x:c r="H43" s="6"/>
    </x:row>
    <x:row r="44">
      <x:c r="A44" s="6"/>
      <x:c r="B44" s="6"/>
      <x:c r="C44" s="6"/>
      <x:c r="D44" s="6"/>
      <x:c r="E44" s="6"/>
      <x:c r="F44" s="6"/>
      <x:c r="G44" s="6"/>
      <x:c r="H44" s="6"/>
    </x:row>
    <x:row r="45">
      <x:c r="A45" s="6"/>
      <x:c r="B45" s="6"/>
      <x:c r="C45" s="6"/>
      <x:c r="D45" s="6"/>
      <x:c r="E45" s="6"/>
      <x:c r="F45" s="6"/>
      <x:c r="G45" s="6"/>
      <x:c r="H45" s="6"/>
    </x:row>
    <x:row r="46">
      <x:c r="A46" s="6"/>
      <x:c r="B46" s="6"/>
      <x:c r="C46" s="6"/>
      <x:c r="D46" s="6"/>
      <x:c r="E46" s="6"/>
      <x:c r="F46" s="6"/>
      <x:c r="G46" s="6"/>
      <x:c r="H46" s="6"/>
    </x:row>
    <x:row r="47">
      <x:c r="A47" s="6"/>
      <x:c r="B47" s="6"/>
      <x:c r="C47" s="6"/>
      <x:c r="D47" s="6"/>
      <x:c r="E47" s="6"/>
      <x:c r="F47" s="6"/>
      <x:c r="G47" s="6"/>
      <x:c r="H47" s="6"/>
    </x:row>
    <x:row r="48">
      <x:c r="A48" s="6"/>
      <x:c r="B48" s="6"/>
      <x:c r="C48" s="6"/>
      <x:c r="D48" s="6"/>
      <x:c r="E48" s="6"/>
      <x:c r="F48" s="6"/>
      <x:c r="G48" s="6"/>
      <x:c r="H48" s="6"/>
    </x:row>
    <x:row r="49">
      <x:c r="A49" s="6"/>
      <x:c r="B49" s="6"/>
      <x:c r="C49" s="6"/>
      <x:c r="D49" s="6"/>
      <x:c r="E49" s="6"/>
      <x:c r="F49" s="6"/>
      <x:c r="G49" s="6"/>
      <x:c r="H49" s="6"/>
    </x:row>
    <x:row r="50">
      <x:c r="A50" s="6"/>
      <x:c r="B50" s="6"/>
      <x:c r="C50" s="6"/>
      <x:c r="D50" s="6"/>
      <x:c r="E50" s="6"/>
      <x:c r="F50" s="6"/>
      <x:c r="G50" s="6"/>
      <x:c r="H50" s="6"/>
    </x:row>
    <x:row r="51">
      <x:c r="A51" s="6"/>
      <x:c r="B51" s="6"/>
      <x:c r="C51" s="6"/>
      <x:c r="D51" s="6"/>
      <x:c r="E51" s="6"/>
      <x:c r="F51" s="6"/>
      <x:c r="G51" s="6"/>
      <x:c r="H51" s="6"/>
    </x:row>
    <x:row r="52">
      <x:c r="A52" s="6"/>
      <x:c r="B52" s="6"/>
      <x:c r="C52" s="6"/>
      <x:c r="D52" s="6"/>
      <x:c r="E52" s="6"/>
      <x:c r="F52" s="6"/>
      <x:c r="G52" s="6"/>
      <x:c r="H52" s="6"/>
    </x:row>
    <x:row r="53">
      <x:c r="A53" s="6"/>
      <x:c r="B53" s="6"/>
      <x:c r="C53" s="6"/>
      <x:c r="D53" s="6"/>
      <x:c r="E53" s="6"/>
      <x:c r="F53" s="6"/>
      <x:c r="G53" s="6"/>
      <x:c r="H53" s="6"/>
    </x:row>
    <x:row r="54">
      <x:c r="A54" s="6"/>
      <x:c r="B54" s="6"/>
      <x:c r="C54" s="6"/>
      <x:c r="D54" s="6"/>
      <x:c r="E54" s="6"/>
      <x:c r="F54" s="6"/>
      <x:c r="G54" s="6"/>
      <x:c r="H54" s="6"/>
    </x:row>
    <x:row r="55">
      <x:c r="A55" s="6"/>
      <x:c r="B55" s="6"/>
      <x:c r="C55" s="6"/>
      <x:c r="D55" s="6"/>
      <x:c r="E55" s="6"/>
      <x:c r="F55" s="6"/>
      <x:c r="G55" s="6"/>
      <x:c r="H55" s="6"/>
    </x:row>
    <x:row r="56">
      <x:c r="A56" s="6"/>
      <x:c r="B56" s="6"/>
      <x:c r="C56" s="6"/>
      <x:c r="D56" s="6"/>
      <x:c r="E56" s="6"/>
      <x:c r="F56" s="6"/>
      <x:c r="G56" s="6"/>
      <x:c r="H56" s="6"/>
    </x:row>
    <x:row r="57">
      <x:c r="A57" s="6"/>
      <x:c r="B57" s="6"/>
      <x:c r="C57" s="6"/>
      <x:c r="D57" s="6"/>
      <x:c r="E57" s="6"/>
      <x:c r="F57" s="6"/>
      <x:c r="G57" s="6"/>
      <x:c r="H57" s="6"/>
    </x:row>
    <x:row r="58">
      <x:c r="A58" s="6"/>
      <x:c r="B58" s="6"/>
      <x:c r="C58" s="6"/>
      <x:c r="D58" s="6"/>
      <x:c r="E58" s="6"/>
      <x:c r="F58" s="6"/>
      <x:c r="G58" s="6"/>
      <x:c r="H58" s="6"/>
    </x:row>
    <x:row r="59">
      <x:c r="A59" s="6"/>
      <x:c r="B59" s="6"/>
      <x:c r="C59" s="6"/>
      <x:c r="D59" s="6"/>
      <x:c r="E59" s="6"/>
      <x:c r="F59" s="6"/>
      <x:c r="G59" s="6"/>
      <x:c r="H59" s="6"/>
    </x:row>
    <x:row r="60">
      <x:c r="A60" s="6"/>
      <x:c r="B60" s="6"/>
      <x:c r="C60" s="6"/>
      <x:c r="D60" s="6"/>
      <x:c r="E60" s="6"/>
      <x:c r="F60" s="6"/>
      <x:c r="G60" s="6"/>
      <x:c r="H60" s="6"/>
    </x:row>
    <x:row r="61">
      <x:c r="A61" s="6"/>
      <x:c r="B61" s="6"/>
      <x:c r="C61" s="6"/>
      <x:c r="D61" s="6"/>
      <x:c r="E61" s="6"/>
      <x:c r="F61" s="6"/>
      <x:c r="G61" s="6"/>
      <x:c r="H61" s="6"/>
    </x:row>
    <x:row r="62">
      <x:c r="A62" s="6"/>
      <x:c r="B62" s="6"/>
      <x:c r="C62" s="6"/>
      <x:c r="D62" s="6"/>
      <x:c r="E62" s="6"/>
      <x:c r="F62" s="6"/>
      <x:c r="G62" s="6"/>
      <x:c r="H62" s="6"/>
    </x:row>
    <x:row r="63">
      <x:c r="A63" s="6"/>
      <x:c r="B63" s="6"/>
      <x:c r="C63" s="6"/>
      <x:c r="D63" s="6"/>
      <x:c r="E63" s="6"/>
      <x:c r="F63" s="6"/>
      <x:c r="G63" s="6"/>
      <x:c r="H63" s="6"/>
    </x:row>
    <x:row r="64">
      <x:c r="A64" s="6"/>
      <x:c r="B64" s="6"/>
      <x:c r="C64" s="6"/>
      <x:c r="D64" s="6"/>
      <x:c r="E64" s="6"/>
      <x:c r="F64" s="6"/>
      <x:c r="G64" s="6"/>
      <x:c r="H64" s="6"/>
    </x:row>
    <x:row r="65">
      <x:c r="A65" s="6"/>
      <x:c r="B65" s="6"/>
      <x:c r="C65" s="6"/>
      <x:c r="D65" s="6"/>
      <x:c r="E65" s="6"/>
      <x:c r="F65" s="6"/>
      <x:c r="G65" s="6"/>
      <x:c r="H65" s="6"/>
    </x:row>
    <x:row r="66">
      <x:c r="A66" s="6"/>
      <x:c r="B66" s="6"/>
      <x:c r="C66" s="6"/>
      <x:c r="D66" s="6"/>
      <x:c r="E66" s="6"/>
      <x:c r="F66" s="6"/>
      <x:c r="G66" s="6"/>
      <x:c r="H66" s="6"/>
    </x:row>
    <x:row r="67">
      <x:c r="A67" s="6"/>
      <x:c r="B67" s="6"/>
      <x:c r="C67" s="6"/>
      <x:c r="D67" s="6"/>
      <x:c r="E67" s="6"/>
      <x:c r="F67" s="6"/>
      <x:c r="G67" s="6"/>
      <x:c r="H67" s="6"/>
    </x:row>
    <x:row r="68">
      <x:c r="A68" s="6"/>
      <x:c r="B68" s="6"/>
      <x:c r="C68" s="6"/>
      <x:c r="D68" s="6"/>
      <x:c r="E68" s="6"/>
      <x:c r="F68" s="6"/>
      <x:c r="G68" s="6"/>
      <x:c r="H68" s="6"/>
    </x:row>
    <x:row r="69">
      <x:c r="A69" s="6"/>
      <x:c r="B69" s="6"/>
      <x:c r="C69" s="6"/>
      <x:c r="D69" s="6"/>
      <x:c r="E69" s="6"/>
      <x:c r="F69" s="6"/>
      <x:c r="G69" s="6"/>
      <x:c r="H69" s="6"/>
    </x:row>
    <x:row r="70">
      <x:c r="A70" s="6"/>
      <x:c r="B70" s="6"/>
      <x:c r="C70" s="6"/>
      <x:c r="D70" s="6"/>
      <x:c r="E70" s="6"/>
      <x:c r="F70" s="6"/>
      <x:c r="G70" s="6"/>
      <x:c r="H70" s="6"/>
    </x:row>
    <x:row r="71">
      <x:c r="A71" s="6"/>
      <x:c r="B71" s="6"/>
      <x:c r="C71" s="6"/>
      <x:c r="D71" s="6"/>
      <x:c r="E71" s="6"/>
      <x:c r="F71" s="6"/>
      <x:c r="G71" s="6"/>
      <x:c r="H71" s="6"/>
    </x:row>
    <x:row r="72">
      <x:c r="A72" s="6"/>
      <x:c r="B72" s="6"/>
      <x:c r="C72" s="6"/>
      <x:c r="D72" s="6"/>
      <x:c r="E72" s="6"/>
      <x:c r="F72" s="6"/>
      <x:c r="G72" s="6"/>
      <x:c r="H72" s="6"/>
    </x:row>
    <x:row r="73">
      <x:c r="A73" s="6"/>
      <x:c r="B73" s="6"/>
      <x:c r="C73" s="6"/>
      <x:c r="D73" s="6"/>
      <x:c r="E73" s="6"/>
      <x:c r="F73" s="6"/>
      <x:c r="G73" s="6"/>
      <x:c r="H73" s="6"/>
    </x:row>
    <x:row r="74">
      <x:c r="A74" s="6"/>
      <x:c r="B74" s="6"/>
      <x:c r="C74" s="6"/>
      <x:c r="D74" s="6"/>
      <x:c r="E74" s="6"/>
      <x:c r="F74" s="6"/>
      <x:c r="G74" s="6"/>
      <x:c r="H74" s="6"/>
    </x:row>
    <x:row r="75">
      <x:c r="A75" s="6"/>
      <x:c r="B75" s="6"/>
      <x:c r="C75" s="6"/>
      <x:c r="D75" s="6"/>
      <x:c r="E75" s="6"/>
      <x:c r="F75" s="6"/>
      <x:c r="G75" s="6"/>
      <x:c r="H75" s="6"/>
    </x:row>
    <x:row r="76">
      <x:c r="A76" s="6"/>
      <x:c r="B76" s="6"/>
      <x:c r="C76" s="6"/>
      <x:c r="D76" s="6"/>
      <x:c r="E76" s="6"/>
      <x:c r="F76" s="6"/>
      <x:c r="G76" s="6"/>
      <x:c r="H76" s="6"/>
    </x:row>
    <x:row r="77">
      <x:c r="A77" s="6"/>
      <x:c r="B77" s="6"/>
      <x:c r="C77" s="6"/>
      <x:c r="D77" s="6"/>
      <x:c r="E77" s="6"/>
      <x:c r="F77" s="6"/>
      <x:c r="G77" s="6"/>
      <x:c r="H77" s="6"/>
    </x:row>
    <x:row r="78">
      <x:c r="A78" s="6"/>
      <x:c r="B78" s="6"/>
      <x:c r="C78" s="6"/>
      <x:c r="D78" s="6"/>
      <x:c r="E78" s="6"/>
      <x:c r="F78" s="6"/>
      <x:c r="G78" s="6"/>
      <x:c r="H78" s="6"/>
    </x:row>
    <x:row r="79">
      <x:c r="A79" s="6"/>
      <x:c r="B79" s="6"/>
      <x:c r="C79" s="6"/>
      <x:c r="D79" s="6"/>
      <x:c r="E79" s="6"/>
      <x:c r="F79" s="6"/>
      <x:c r="G79" s="6"/>
      <x:c r="H79" s="6"/>
    </x:row>
    <x:row r="80">
      <x:c r="A80" s="6"/>
      <x:c r="B80" s="6"/>
      <x:c r="C80" s="6"/>
      <x:c r="D80" s="6"/>
      <x:c r="E80" s="6"/>
      <x:c r="F80" s="6"/>
      <x:c r="G80" s="6"/>
      <x:c r="H80" s="6"/>
    </x:row>
    <x:row r="81">
      <x:c r="A81" s="6"/>
      <x:c r="B81" s="6"/>
      <x:c r="C81" s="6"/>
      <x:c r="D81" s="6"/>
      <x:c r="E81" s="6"/>
      <x:c r="F81" s="6"/>
      <x:c r="G81" s="6"/>
      <x:c r="H81" s="6"/>
    </x:row>
    <x:row r="82">
      <x:c r="A82" s="6"/>
      <x:c r="B82" s="6"/>
      <x:c r="C82" s="6"/>
      <x:c r="D82" s="6"/>
      <x:c r="E82" s="6"/>
      <x:c r="F82" s="6"/>
      <x:c r="G82" s="6"/>
      <x:c r="H82" s="6"/>
    </x:row>
    <x:row r="83">
      <x:c r="A83" s="6"/>
      <x:c r="B83" s="6"/>
      <x:c r="C83" s="6"/>
      <x:c r="D83" s="6"/>
      <x:c r="E83" s="6"/>
      <x:c r="F83" s="6"/>
      <x:c r="G83" s="6"/>
      <x:c r="H83" s="6"/>
    </x:row>
    <x:row r="84">
      <x:c r="A84" s="6"/>
      <x:c r="B84" s="6"/>
      <x:c r="C84" s="6"/>
      <x:c r="D84" s="6"/>
      <x:c r="E84" s="6"/>
      <x:c r="F84" s="6"/>
      <x:c r="G84" s="6"/>
      <x:c r="H84" s="6"/>
    </x:row>
    <x:row r="85">
      <x:c r="A85" s="6"/>
      <x:c r="B85" s="6"/>
      <x:c r="C85" s="6"/>
      <x:c r="D85" s="6"/>
      <x:c r="E85" s="6"/>
      <x:c r="F85" s="6"/>
      <x:c r="G85" s="6"/>
      <x:c r="H85" s="6"/>
    </x:row>
    <x:row r="86">
      <x:c r="A86" s="6"/>
      <x:c r="B86" s="6"/>
      <x:c r="C86" s="6"/>
      <x:c r="D86" s="6"/>
      <x:c r="E86" s="6"/>
      <x:c r="F86" s="6"/>
      <x:c r="G86" s="6"/>
      <x:c r="H86" s="6"/>
    </x:row>
    <x:row r="87">
      <x:c r="A87" s="6"/>
      <x:c r="B87" s="6"/>
      <x:c r="C87" s="6"/>
      <x:c r="D87" s="6"/>
      <x:c r="E87" s="6"/>
      <x:c r="F87" s="6"/>
      <x:c r="G87" s="6"/>
      <x:c r="H87" s="6"/>
    </x:row>
    <x:row r="88">
      <x:c r="A88" s="6"/>
      <x:c r="B88" s="6"/>
      <x:c r="C88" s="6"/>
      <x:c r="D88" s="6"/>
      <x:c r="E88" s="6"/>
      <x:c r="F88" s="6"/>
      <x:c r="G88" s="6"/>
      <x:c r="H88" s="6"/>
    </x:row>
    <x:row r="89">
      <x:c r="A89" s="6"/>
      <x:c r="B89" s="6"/>
      <x:c r="C89" s="6"/>
      <x:c r="D89" s="6"/>
      <x:c r="E89" s="6"/>
      <x:c r="F89" s="6"/>
      <x:c r="G89" s="6"/>
      <x:c r="H89" s="6"/>
    </x:row>
    <x:row r="90">
      <x:c r="A90" s="6"/>
      <x:c r="B90" s="6"/>
      <x:c r="C90" s="6"/>
      <x:c r="D90" s="6"/>
      <x:c r="E90" s="6"/>
      <x:c r="F90" s="6"/>
      <x:c r="G90" s="6"/>
      <x:c r="H90" s="6"/>
    </x:row>
    <x:row r="91">
      <x:c r="A91" s="6"/>
      <x:c r="B91" s="6"/>
      <x:c r="C91" s="6"/>
      <x:c r="D91" s="6"/>
      <x:c r="E91" s="6"/>
      <x:c r="F91" s="6"/>
      <x:c r="G91" s="6"/>
      <x:c r="H91" s="6"/>
    </x:row>
    <x:row r="92">
      <x:c r="A92" s="6"/>
      <x:c r="B92" s="6"/>
      <x:c r="C92" s="6"/>
      <x:c r="D92" s="6"/>
      <x:c r="E92" s="6"/>
      <x:c r="F92" s="6"/>
      <x:c r="G92" s="6"/>
      <x:c r="H92" s="6"/>
    </x:row>
    <x:row r="93">
      <x:c r="A93" s="6"/>
      <x:c r="B93" s="6"/>
      <x:c r="C93" s="6"/>
      <x:c r="D93" s="6"/>
      <x:c r="E93" s="6"/>
      <x:c r="F93" s="6"/>
      <x:c r="G93" s="6"/>
      <x:c r="H93" s="6"/>
    </x:row>
    <x:row r="94">
      <x:c r="A94" s="6"/>
      <x:c r="B94" s="6"/>
      <x:c r="C94" s="6"/>
      <x:c r="D94" s="6"/>
      <x:c r="E94" s="6"/>
      <x:c r="F94" s="6"/>
      <x:c r="G94" s="6"/>
      <x:c r="H94" s="6"/>
    </x:row>
    <x:row r="95">
      <x:c r="A95" s="6"/>
      <x:c r="B95" s="6"/>
      <x:c r="C95" s="6"/>
      <x:c r="D95" s="6"/>
      <x:c r="E95" s="6"/>
      <x:c r="F95" s="6"/>
      <x:c r="G95" s="6"/>
      <x:c r="H95" s="6"/>
    </x:row>
    <x:row r="96">
      <x:c r="A96" s="6"/>
      <x:c r="B96" s="6"/>
      <x:c r="C96" s="6"/>
      <x:c r="D96" s="6"/>
      <x:c r="E96" s="6"/>
      <x:c r="F96" s="6"/>
      <x:c r="G96" s="6"/>
      <x:c r="H96" s="6"/>
    </x:row>
  </x:sheetData>
  <x:mergeCells>
    <x:mergeCell ref="A1:F2"/>
    <x:mergeCell ref="A3:F4"/>
  </x:mergeCells>
  <x:pageMargins left="0.7" right="0.7" top="0.75" bottom="0.75" header="0.3" footer="0.3"/>
</x:worksheet>
</file>