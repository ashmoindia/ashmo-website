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0a92e142842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44e7e5511812419a"/>
    <x:sheet xmlns:r="http://schemas.openxmlformats.org/officeDocument/2006/relationships" name="Stores" sheetId="2" r:id="R592b71e9411342fe"/>
    <x:sheet xmlns:r="http://schemas.openxmlformats.org/officeDocument/2006/relationships" name="Campaign_Rollout" sheetId="3" r:id="R4602216211bd4a8f"/>
    <x:sheet xmlns:r="http://schemas.openxmlformats.org/officeDocument/2006/relationships" name="Dashboard" sheetId="4" r:id="R04b890c550df4a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dd-mmm-yyyy"/>
    <x:numFmt numFmtId="202" formatCode="#,##0"/>
  </x:numFmts>
  <x:fonts count="11">
    <x:font>
      <x:sz val="11"/>
      <x:name val="Carlito"/>
    </x:font>
    <x:font>
      <x:sz val="11"/>
      <x:color rgb="111827"/>
      <x:name val="Carlito"/>
    </x:font>
    <x:font>
      <x:sz val="10"/>
      <x:color rgb="111827"/>
      <x:name val="Carlito"/>
    </x:font>
    <x:font>
      <x:sz val="10"/>
      <x:color rgb="FFFFFF"/>
      <x:name val="Carlito"/>
    </x:font>
    <x:font>
      <x:b/>
      <x:sz val="10"/>
      <x:color rgb="FFFFFF"/>
      <x:name val="Carlito"/>
    </x:font>
    <x:font>
      <x:b/>
      <x:sz val="22"/>
      <x:color rgb="FFFFFF"/>
      <x:name val="Carlito"/>
    </x:font>
    <x:font>
      <x:sz val="10"/>
      <x:color rgb="52606D"/>
      <x:name val="Carlito"/>
    </x:font>
    <x:font>
      <x:b/>
      <x:sz val="10"/>
      <x:color rgb="111827"/>
      <x:name val="Carlito"/>
    </x:font>
    <x:font>
      <x:b/>
      <x:sz val="12"/>
      <x:color rgb="111827"/>
      <x:name val="Carlito"/>
    </x:font>
    <x:font>
      <x:b/>
      <x:sz val="10"/>
      <x:color rgb="52606D"/>
      <x:name val="Carlito"/>
    </x:font>
    <x:font>
      <x:b/>
      <x:sz val="13"/>
      <x:color rgb="11182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7FAFC"/>
      </x:patternFill>
    </x:fill>
    <x:fill>
      <x:patternFill patternType="solid">
        <x:fgColor rgb="0F172A"/>
      </x:patternFill>
    </x:fill>
    <x:fill>
      <x:patternFill patternType="solid">
        <x:fgColor rgb="EEF4F8"/>
      </x:patternFill>
    </x:fill>
    <x:fill>
      <x:patternFill patternType="solid">
        <x:fgColor rgb="FFFFFF"/>
      </x:patternFill>
    </x:fill>
    <x:fill>
      <x:patternFill patternType="solid">
        <x:fgColor rgb="FFF4E5"/>
      </x:patternFill>
    </x:fill>
    <x:fill>
      <x:patternFill patternType="solid">
        <x:fgColor rgb="E7F1FF"/>
      </x:patternFill>
    </x:fill>
    <x:fill>
      <x:patternFill patternType="solid">
        <x:fgColor rgb="EAFBF3"/>
      </x:patternFill>
    </x:fill>
  </x:fills>
  <x:borders count="198">
    <x:border/>
    <x:border/>
    <x:border>
      <x:top/>
    </x:border>
    <x:border>
      <x:top/>
    </x:border>
    <x:border>
      <x:top>
        <x:color indexed="1"/>
      </x:top>
    </x:border>
    <x:border>
      <x:top>
        <x:color indexed="1"/>
      </x:top>
    </x:border>
    <x:border>
      <x:top>
        <x:color indexed="1" rgb="C4D0DD"/>
      </x:top>
    </x:border>
    <x:border>
      <x:top>
        <x:color indexed="1" rgb="C4D0DD"/>
      </x:top>
    </x:border>
    <x:border>
      <x:bottom/>
    </x:border>
    <x:border>
      <x:bottom/>
    </x:border>
    <x:border>
      <x:bottom>
        <x:color indexed="1"/>
      </x:bottom>
    </x:border>
    <x:border>
      <x:bottom>
        <x:color indexed="1"/>
      </x:bottom>
    </x:border>
    <x:border>
      <x:bottom>
        <x:color indexed="1" rgb="C4D0DD"/>
      </x:bottom>
    </x:border>
    <x:border>
      <x:bottom>
        <x:color indexed="1" rgb="C4D0DD"/>
      </x:bottom>
    </x:border>
    <x:border>
      <x:left/>
      <x:top>
        <x:color indexed="1" rgb="C4D0DD"/>
      </x:top>
    </x:border>
    <x:border>
      <x:left/>
    </x:border>
    <x:border>
      <x:left/>
      <x:bottom>
        <x:color indexed="1" rgb="C4D0DD"/>
      </x:bottom>
    </x:border>
    <x:border>
      <x:left/>
      <x:top>
        <x:color indexed="1" rgb="C4D0DD"/>
      </x:top>
    </x:border>
    <x:border>
      <x:left/>
    </x:border>
    <x:border>
      <x:left/>
      <x:bottom>
        <x:color indexed="1" rgb="C4D0DD"/>
      </x:bottom>
    </x:border>
    <x:border>
      <x:left>
        <x:color indexed="1"/>
      </x:left>
      <x:top>
        <x:color indexed="1" rgb="C4D0DD"/>
      </x:top>
    </x:border>
    <x:border>
      <x:left>
        <x:color indexed="1"/>
      </x:left>
    </x:border>
    <x:border>
      <x:left>
        <x:color indexed="1"/>
      </x:left>
      <x:bottom>
        <x:color indexed="1" rgb="C4D0DD"/>
      </x:bottom>
    </x:border>
    <x:border>
      <x:left>
        <x:color indexed="1"/>
      </x:left>
      <x:top>
        <x:color indexed="1" rgb="C4D0DD"/>
      </x:top>
    </x:border>
    <x:border>
      <x:left>
        <x:color indexed="1"/>
      </x:left>
    </x:border>
    <x:border>
      <x:left>
        <x:color indexed="1"/>
      </x:left>
      <x:bottom>
        <x:color indexed="1" rgb="C4D0DD"/>
      </x:bottom>
    </x:border>
    <x:border>
      <x:left>
        <x:color indexed="1" rgb="C4D0DD"/>
      </x:left>
      <x:top>
        <x:color indexed="1" rgb="C4D0DD"/>
      </x:top>
    </x:border>
    <x:border>
      <x:left>
        <x:color indexed="1" rgb="C4D0DD"/>
      </x:left>
    </x:border>
    <x:border>
      <x:left>
        <x:color indexed="1" rgb="C4D0DD"/>
      </x:left>
      <x:bottom>
        <x:color indexed="1" rgb="C4D0DD"/>
      </x:bottom>
    </x:border>
    <x:border>
      <x:left>
        <x:color indexed="1" rgb="C4D0DD"/>
      </x:left>
      <x:top>
        <x:color indexed="1" rgb="C4D0DD"/>
      </x:top>
    </x:border>
    <x:border>
      <x:left>
        <x:color indexed="1" rgb="C4D0DD"/>
      </x:left>
    </x:border>
    <x:border>
      <x:left>
        <x:color indexed="1" rgb="C4D0DD"/>
      </x:left>
      <x:bottom>
        <x:color indexed="1" rgb="C4D0DD"/>
      </x:bottom>
    </x:border>
    <x:border>
      <x:right/>
      <x:top>
        <x:color indexed="1" rgb="C4D0DD"/>
      </x:top>
    </x:border>
    <x:border>
      <x:right/>
    </x:border>
    <x:border>
      <x:right/>
      <x:bottom>
        <x:color indexed="1" rgb="C4D0DD"/>
      </x:bottom>
    </x:border>
    <x:border>
      <x:right/>
      <x:top>
        <x:color indexed="1" rgb="C4D0DD"/>
      </x:top>
    </x:border>
    <x:border>
      <x:right/>
    </x:border>
    <x:border>
      <x:right/>
      <x:bottom>
        <x:color indexed="1" rgb="C4D0DD"/>
      </x:bottom>
    </x:border>
    <x:border>
      <x:right>
        <x:color indexed="1"/>
      </x:right>
      <x:top>
        <x:color indexed="1" rgb="C4D0DD"/>
      </x:top>
    </x:border>
    <x:border>
      <x:right>
        <x:color indexed="1"/>
      </x:right>
    </x:border>
    <x:border>
      <x:right>
        <x:color indexed="1"/>
      </x:right>
      <x:bottom>
        <x:color indexed="1" rgb="C4D0DD"/>
      </x:bottom>
    </x:border>
    <x:border>
      <x:right>
        <x:color indexed="1"/>
      </x:right>
      <x:top>
        <x:color indexed="1" rgb="C4D0DD"/>
      </x:top>
    </x:border>
    <x:border>
      <x:right>
        <x:color indexed="1"/>
      </x:right>
    </x:border>
    <x:border>
      <x:right>
        <x:color indexed="1"/>
      </x:right>
      <x:bottom>
        <x:color indexed="1" rgb="C4D0DD"/>
      </x:bottom>
    </x:border>
    <x:border>
      <x:right>
        <x:color indexed="1" rgb="C4D0DD"/>
      </x:right>
      <x:top>
        <x:color indexed="1" rgb="C4D0DD"/>
      </x:top>
    </x:border>
    <x:border>
      <x:right>
        <x:color indexed="1" rgb="C4D0DD"/>
      </x:right>
    </x:border>
    <x:border>
      <x:right>
        <x:color indexed="1" rgb="C4D0DD"/>
      </x:right>
      <x:bottom>
        <x:color indexed="1" rgb="C4D0DD"/>
      </x:bottom>
    </x:border>
    <x:border>
      <x:right>
        <x:color indexed="1" rgb="C4D0DD"/>
      </x:right>
      <x:top>
        <x:color indexed="1" rgb="C4D0DD"/>
      </x:top>
    </x:border>
    <x:border>
      <x:right>
        <x:color indexed="1" rgb="C4D0DD"/>
      </x:right>
    </x:border>
    <x:border>
      <x:right>
        <x:color indexed="1" rgb="C4D0DD"/>
      </x:right>
      <x:bottom>
        <x:color indexed="1" rgb="C4D0DD"/>
      </x:bottom>
    </x:border>
    <x:border>
      <x:top>
        <x:color indexed="1" rgb="C4D0DD"/>
      </x:top>
      <x:bottom/>
    </x:border>
    <x:border>
      <x:top>
        <x:color indexed="1" rgb="C4D0DD"/>
      </x:top>
      <x:bottom/>
    </x:border>
    <x:border>
      <x:top>
        <x:color indexed="1" rgb="C4D0DD"/>
      </x:top>
      <x:bottom>
        <x:color indexed="1"/>
      </x:bottom>
    </x:border>
    <x:border>
      <x:top>
        <x:color indexed="1" rgb="C4D0DD"/>
      </x:top>
      <x:bottom>
        <x:color indexed="1"/>
      </x:bottom>
    </x:border>
    <x:border>
      <x:top>
        <x:color indexed="1" rgb="C4D0DD"/>
      </x:top>
      <x:bottom>
        <x:color indexed="1" rgb="C4D0DD"/>
      </x:bottom>
    </x:border>
    <x:border>
      <x:top>
        <x:color indexed="1" rgb="C4D0DD"/>
      </x:top>
      <x:bottom>
        <x:color indexed="1" rgb="C4D0DD"/>
      </x:bottom>
    </x:border>
    <x:border>
      <x:left/>
      <x:top>
        <x:color indexed="1" rgb="C4D0DD"/>
      </x:top>
      <x:bottom>
        <x:color indexed="1" rgb="C4D0DD"/>
      </x:bottom>
    </x:border>
    <x:border>
      <x:left/>
      <x:top>
        <x:color indexed="1" rgb="C4D0DD"/>
      </x:top>
      <x:bottom>
        <x:color indexed="1" rgb="C4D0DD"/>
      </x:bottom>
    </x:border>
    <x:border>
      <x:left>
        <x:color indexed="1"/>
      </x:left>
      <x:top>
        <x:color indexed="1" rgb="C4D0DD"/>
      </x:top>
      <x:bottom>
        <x:color indexed="1" rgb="C4D0DD"/>
      </x:bottom>
    </x:border>
    <x:border>
      <x:left>
        <x:color indexed="1"/>
      </x:left>
      <x:top>
        <x:color indexed="1" rgb="C4D0DD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 rgb="C4D0DD"/>
      </x:bottom>
    </x:border>
    <x:border>
      <x:right/>
      <x:top>
        <x:color indexed="1" rgb="C4D0DD"/>
      </x:top>
      <x:bottom>
        <x:color indexed="1" rgb="C4D0DD"/>
      </x:bottom>
    </x:border>
    <x:border>
      <x:right/>
      <x:top>
        <x:color indexed="1" rgb="C4D0DD"/>
      </x:top>
      <x:bottom>
        <x:color indexed="1" rgb="C4D0DD"/>
      </x:bottom>
    </x:border>
    <x:border>
      <x:right>
        <x:color indexed="1"/>
      </x:right>
      <x:top>
        <x:color indexed="1" rgb="C4D0DD"/>
      </x:top>
      <x:bottom>
        <x:color indexed="1" rgb="C4D0DD"/>
      </x:bottom>
    </x:border>
    <x:border>
      <x:right>
        <x:color indexed="1"/>
      </x:right>
      <x:top>
        <x:color indexed="1" rgb="C4D0DD"/>
      </x:top>
      <x:bottom>
        <x:color indexed="1" rgb="C4D0DD"/>
      </x:bottom>
    </x:border>
    <x:border>
      <x:right>
        <x:color indexed="1" rgb="C4D0DD"/>
      </x:right>
      <x:top>
        <x:color indexed="1" rgb="C4D0DD"/>
      </x:top>
      <x:bottom>
        <x:color indexed="1" rgb="C4D0DD"/>
      </x:bottom>
    </x:border>
    <x:border>
      <x:right>
        <x:color indexed="1" rgb="C4D0DD"/>
      </x:right>
      <x:top>
        <x:color indexed="1" rgb="C4D0DD"/>
      </x:top>
      <x:bottom>
        <x:color indexed="1" rgb="C4D0DD"/>
      </x:bottom>
    </x:border>
    <x:border>
      <x:top>
        <x:color indexed="1" rgb="D9E2EC"/>
      </x:top>
    </x:border>
    <x:border>
      <x:top>
        <x:color indexed="1" rgb="D9E2EC"/>
      </x:top>
    </x:border>
    <x:border>
      <x:top>
        <x:color indexed="1" rgb="D9E2EC"/>
      </x:top>
      <x:bottom/>
    </x:border>
    <x:border>
      <x:top>
        <x:color indexed="1" rgb="D9E2EC"/>
      </x:top>
      <x:bottom/>
    </x:border>
    <x:border>
      <x:top>
        <x:color indexed="1" rgb="D9E2EC"/>
      </x:top>
      <x:bottom>
        <x:color indexed="1"/>
      </x:bottom>
    </x:border>
    <x:border>
      <x:top>
        <x:color indexed="1" rgb="D9E2EC"/>
      </x:top>
      <x:bottom>
        <x:color indexed="1"/>
      </x:bottom>
    </x:border>
    <x:border>
      <x:top>
        <x:color indexed="1" rgb="D9E2EC"/>
      </x:top>
      <x:bottom>
        <x:color indexed="1" rgb="D9E2EC"/>
      </x:bottom>
    </x:border>
    <x:border>
      <x:top>
        <x:color indexed="1" rgb="D9E2EC"/>
      </x:top>
      <x:bottom>
        <x:color indexed="1" rgb="D9E2EC"/>
      </x:bottom>
    </x:border>
    <x:border>
      <x:left/>
      <x:top>
        <x:color indexed="1" rgb="D9E2EC"/>
      </x:top>
      <x:bottom>
        <x:color indexed="1" rgb="D9E2EC"/>
      </x:bottom>
    </x:border>
    <x:border>
      <x:left/>
      <x:top>
        <x:color indexed="1" rgb="D9E2EC"/>
      </x:top>
      <x:bottom>
        <x:color indexed="1" rgb="D9E2EC"/>
      </x:bottom>
    </x:border>
    <x:border>
      <x:left>
        <x:color indexed="1"/>
      </x:left>
      <x:top>
        <x:color indexed="1" rgb="D9E2EC"/>
      </x:top>
      <x:bottom>
        <x:color indexed="1" rgb="D9E2EC"/>
      </x:bottom>
    </x:border>
    <x:border>
      <x:left>
        <x:color indexed="1"/>
      </x:left>
      <x:top>
        <x:color indexed="1" rgb="D9E2EC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 rgb="D9E2EC"/>
      </x:bottom>
    </x:border>
    <x:border>
      <x:right/>
      <x:top>
        <x:color indexed="1" rgb="D9E2EC"/>
      </x:top>
      <x:bottom>
        <x:color indexed="1" rgb="D9E2EC"/>
      </x:bottom>
    </x:border>
    <x:border>
      <x:right/>
      <x:top>
        <x:color indexed="1" rgb="D9E2EC"/>
      </x:top>
      <x:bottom>
        <x:color indexed="1" rgb="D9E2EC"/>
      </x:bottom>
    </x:border>
    <x:border>
      <x:right>
        <x:color indexed="1"/>
      </x:right>
      <x:top>
        <x:color indexed="1" rgb="D9E2EC"/>
      </x:top>
      <x:bottom>
        <x:color indexed="1" rgb="D9E2EC"/>
      </x:bottom>
    </x:border>
    <x:border>
      <x:right>
        <x:color indexed="1"/>
      </x:right>
      <x:top>
        <x:color indexed="1" rgb="D9E2EC"/>
      </x:top>
      <x:bottom>
        <x:color indexed="1" rgb="D9E2EC"/>
      </x:bottom>
    </x:border>
    <x:border>
      <x:right>
        <x:color indexed="1" rgb="D9E2EC"/>
      </x:right>
      <x:top>
        <x:color indexed="1" rgb="D9E2EC"/>
      </x:top>
      <x:bottom>
        <x:color indexed="1" rgb="D9E2EC"/>
      </x:bottom>
    </x:border>
    <x:border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/>
      <x:top>
        <x:color indexed="1" rgb="D9E2EC"/>
      </x:top>
      <x:bottom>
        <x:color indexed="1" rgb="D9E2EC"/>
      </x:bottom>
    </x:border>
    <x:border>
      <x:left/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/>
      <x:top>
        <x:color indexed="1" rgb="D9E2EC"/>
      </x:top>
      <x:bottom>
        <x:color indexed="1" rgb="D9E2EC"/>
      </x:bottom>
    </x:border>
    <x:border>
      <x:left/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/>
      </x:right>
      <x:top>
        <x:color indexed="1" rgb="D9E2EC"/>
      </x:top>
      <x:bottom>
        <x:color indexed="1" rgb="D9E2EC"/>
      </x:bottom>
    </x:border>
    <x:border>
      <x:left>
        <x:color indexed="1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/>
      </x:right>
      <x:top>
        <x:color indexed="1" rgb="D9E2EC"/>
      </x:top>
      <x:bottom>
        <x:color indexed="1" rgb="D9E2EC"/>
      </x:bottom>
    </x:border>
    <x:border>
      <x:left>
        <x:color indexed="1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bottom>
        <x:color indexed="1" rgb="D9E2EC"/>
      </x:bottom>
    </x:border>
    <x:border>
      <x:bottom>
        <x:color indexed="1" rgb="D9E2EC"/>
      </x:bottom>
    </x:border>
    <x:border>
      <x:left/>
      <x:top>
        <x:color indexed="1" rgb="D9E2EC"/>
      </x:top>
    </x:border>
    <x:border>
      <x:left/>
      <x:bottom>
        <x:color indexed="1" rgb="D9E2EC"/>
      </x:bottom>
    </x:border>
    <x:border>
      <x:left/>
      <x:top>
        <x:color indexed="1" rgb="D9E2EC"/>
      </x:top>
    </x:border>
    <x:border>
      <x:left/>
      <x:bottom>
        <x:color indexed="1" rgb="D9E2EC"/>
      </x:bottom>
    </x:border>
    <x:border>
      <x:left>
        <x:color indexed="1"/>
      </x:left>
      <x:top>
        <x:color indexed="1" rgb="D9E2EC"/>
      </x:top>
    </x:border>
    <x:border>
      <x:left>
        <x:color indexed="1"/>
      </x:left>
      <x:bottom>
        <x:color indexed="1" rgb="D9E2EC"/>
      </x:bottom>
    </x:border>
    <x:border>
      <x:left>
        <x:color indexed="1"/>
      </x:left>
      <x:top>
        <x:color indexed="1" rgb="D9E2EC"/>
      </x:top>
    </x:border>
    <x:border>
      <x:left>
        <x:color indexed="1"/>
      </x:left>
      <x:bottom>
        <x:color indexed="1" rgb="D9E2EC"/>
      </x:bottom>
    </x:border>
    <x:border>
      <x:left>
        <x:color indexed="1" rgb="D9E2EC"/>
      </x:left>
      <x:top>
        <x:color indexed="1" rgb="D9E2EC"/>
      </x:top>
    </x:border>
    <x:border>
      <x:left>
        <x:color indexed="1" rgb="D9E2EC"/>
      </x:left>
    </x:border>
    <x:border>
      <x:left>
        <x:color indexed="1" rgb="D9E2EC"/>
      </x:left>
      <x:bottom>
        <x:color indexed="1" rgb="D9E2EC"/>
      </x:bottom>
    </x:border>
    <x:border>
      <x:left>
        <x:color indexed="1" rgb="D9E2EC"/>
      </x:left>
      <x:top>
        <x:color indexed="1" rgb="D9E2EC"/>
      </x:top>
    </x:border>
    <x:border>
      <x:left>
        <x:color indexed="1" rgb="D9E2EC"/>
      </x:left>
    </x:border>
    <x:border>
      <x:left>
        <x:color indexed="1" rgb="D9E2EC"/>
      </x:left>
      <x:bottom>
        <x:color indexed="1" rgb="D9E2EC"/>
      </x:bottom>
    </x:border>
    <x:border>
      <x:right/>
      <x:top>
        <x:color indexed="1" rgb="D9E2EC"/>
      </x:top>
    </x:border>
    <x:border>
      <x:right/>
      <x:bottom>
        <x:color indexed="1" rgb="D9E2EC"/>
      </x:bottom>
    </x:border>
    <x:border>
      <x:right/>
      <x:top>
        <x:color indexed="1" rgb="D9E2EC"/>
      </x:top>
    </x:border>
    <x:border>
      <x:right/>
      <x:bottom>
        <x:color indexed="1" rgb="D9E2EC"/>
      </x:bottom>
    </x:border>
    <x:border>
      <x:right>
        <x:color indexed="1"/>
      </x:right>
      <x:top>
        <x:color indexed="1" rgb="D9E2EC"/>
      </x:top>
    </x:border>
    <x:border>
      <x:right>
        <x:color indexed="1"/>
      </x:right>
      <x:bottom>
        <x:color indexed="1" rgb="D9E2EC"/>
      </x:bottom>
    </x:border>
    <x:border>
      <x:right>
        <x:color indexed="1"/>
      </x:right>
      <x:top>
        <x:color indexed="1" rgb="D9E2EC"/>
      </x:top>
    </x:border>
    <x:border>
      <x:right>
        <x:color indexed="1"/>
      </x:right>
      <x:bottom>
        <x:color indexed="1" rgb="D9E2EC"/>
      </x:bottom>
    </x:border>
    <x:border>
      <x:right>
        <x:color indexed="1" rgb="D9E2EC"/>
      </x:right>
      <x:top>
        <x:color indexed="1" rgb="D9E2EC"/>
      </x:top>
    </x:border>
    <x:border>
      <x:right>
        <x:color indexed="1" rgb="D9E2EC"/>
      </x:right>
    </x:border>
    <x:border>
      <x:right>
        <x:color indexed="1" rgb="D9E2EC"/>
      </x:right>
      <x:bottom>
        <x:color indexed="1" rgb="D9E2EC"/>
      </x:bottom>
    </x:border>
    <x:border>
      <x:right>
        <x:color indexed="1" rgb="D9E2EC"/>
      </x:right>
      <x:top>
        <x:color indexed="1" rgb="D9E2EC"/>
      </x:top>
    </x:border>
    <x:border>
      <x:right>
        <x:color indexed="1" rgb="D9E2EC"/>
      </x:right>
    </x:border>
    <x:border>
      <x:right>
        <x:color indexed="1" rgb="D9E2EC"/>
      </x:right>
      <x:bottom>
        <x:color indexed="1" rgb="D9E2EC"/>
      </x:bottom>
    </x:border>
    <x:border>
      <x:left>
        <x:color indexed="1" rgb="D9E2EC"/>
      </x:left>
      <x:top>
        <x:color indexed="1" rgb="D9E2EC"/>
      </x:top>
      <x:bottom/>
    </x:border>
    <x:border>
      <x:right>
        <x:color indexed="1" rgb="D9E2EC"/>
      </x:right>
      <x:top>
        <x:color indexed="1" rgb="D9E2EC"/>
      </x:top>
      <x:bottom/>
    </x:border>
    <x:border>
      <x:left>
        <x:color indexed="1" rgb="D9E2EC"/>
      </x:left>
      <x:top/>
      <x:bottom/>
    </x:border>
    <x:border>
      <x:right>
        <x:color indexed="1" rgb="D9E2EC"/>
      </x:right>
      <x:top/>
      <x:bottom/>
    </x:border>
    <x:border>
      <x:left>
        <x:color indexed="1" rgb="D9E2EC"/>
      </x:left>
      <x:top/>
      <x:bottom>
        <x:color indexed="1" rgb="D9E2EC"/>
      </x:bottom>
    </x:border>
    <x:border>
      <x:right>
        <x:color indexed="1" rgb="D9E2EC"/>
      </x:right>
      <x:top/>
      <x:bottom>
        <x:color indexed="1" rgb="D9E2EC"/>
      </x:bottom>
    </x:border>
    <x:border>
      <x:left>
        <x:color indexed="1" rgb="D9E2EC"/>
      </x:left>
      <x:top>
        <x:color indexed="1" rgb="D9E2EC"/>
      </x:top>
      <x:bottom/>
    </x:border>
    <x:border>
      <x:right>
        <x:color indexed="1" rgb="D9E2EC"/>
      </x:right>
      <x:top>
        <x:color indexed="1" rgb="D9E2EC"/>
      </x:top>
      <x:bottom/>
    </x:border>
    <x:border>
      <x:left>
        <x:color indexed="1" rgb="D9E2EC"/>
      </x:left>
      <x:top/>
      <x:bottom/>
    </x:border>
    <x:border>
      <x:right>
        <x:color indexed="1" rgb="D9E2EC"/>
      </x:right>
      <x:top/>
      <x:bottom/>
    </x:border>
    <x:border>
      <x:left>
        <x:color indexed="1" rgb="D9E2EC"/>
      </x:left>
      <x:top/>
      <x:bottom>
        <x:color indexed="1" rgb="D9E2EC"/>
      </x:bottom>
    </x:border>
    <x:border>
      <x:right>
        <x:color indexed="1" rgb="D9E2EC"/>
      </x:right>
      <x:top/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/>
      </x:bottom>
    </x:border>
    <x:border>
      <x:right>
        <x:color indexed="1" rgb="D9E2EC"/>
      </x:right>
      <x:top>
        <x:color indexed="1" rgb="D9E2EC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/>
      </x:bottom>
    </x:border>
    <x:border>
      <x:right>
        <x:color indexed="1" rgb="D9E2EC"/>
      </x:right>
      <x:top>
        <x:color indexed="1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 rgb="D9E2EC"/>
      </x:bottom>
    </x:border>
    <x:border>
      <x:right>
        <x:color indexed="1" rgb="D9E2EC"/>
      </x:right>
      <x:top>
        <x:color indexed="1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/>
      </x:bottom>
    </x:border>
    <x:border>
      <x:right>
        <x:color indexed="1" rgb="D9E2EC"/>
      </x:right>
      <x:top>
        <x:color indexed="1" rgb="D9E2EC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/>
      </x:bottom>
    </x:border>
    <x:border>
      <x:right>
        <x:color indexed="1" rgb="D9E2EC"/>
      </x:right>
      <x:top>
        <x:color indexed="1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 rgb="D9E2EC"/>
      </x:bottom>
    </x:border>
    <x:border>
      <x:right>
        <x:color indexed="1" rgb="D9E2EC"/>
      </x:right>
      <x:top>
        <x:color indexed="1"/>
      </x:top>
      <x:bottom>
        <x:color indexed="1" rgb="D9E2EC"/>
      </x:bottom>
    </x:border>
    <x:border>
      <x:left>
        <x:color indexed="1" rgb="C4D0DD"/>
      </x:left>
      <x:top>
        <x:color indexed="1" rgb="C4D0DD"/>
      </x:top>
      <x:bottom/>
    </x:border>
    <x:border>
      <x:right>
        <x:color indexed="1" rgb="C4D0DD"/>
      </x:right>
      <x:top>
        <x:color indexed="1" rgb="C4D0DD"/>
      </x:top>
      <x:bottom/>
    </x:border>
    <x:border>
      <x:left>
        <x:color indexed="1" rgb="C4D0DD"/>
      </x:left>
      <x:top/>
      <x:bottom/>
    </x:border>
    <x:border>
      <x:right>
        <x:color indexed="1" rgb="C4D0DD"/>
      </x:right>
      <x:top/>
      <x:bottom/>
    </x:border>
    <x:border>
      <x:left>
        <x:color indexed="1" rgb="C4D0DD"/>
      </x:left>
      <x:top/>
      <x:bottom>
        <x:color indexed="1" rgb="C4D0DD"/>
      </x:bottom>
    </x:border>
    <x:border>
      <x:right>
        <x:color indexed="1" rgb="C4D0DD"/>
      </x:right>
      <x:top/>
      <x:bottom>
        <x:color indexed="1" rgb="C4D0DD"/>
      </x:bottom>
    </x:border>
    <x:border>
      <x:left>
        <x:color indexed="1" rgb="C4D0DD"/>
      </x:left>
      <x:top>
        <x:color indexed="1" rgb="C4D0DD"/>
      </x:top>
      <x:bottom/>
    </x:border>
    <x:border>
      <x:right>
        <x:color indexed="1" rgb="C4D0DD"/>
      </x:right>
      <x:top>
        <x:color indexed="1" rgb="C4D0DD"/>
      </x:top>
      <x:bottom/>
    </x:border>
    <x:border>
      <x:left>
        <x:color indexed="1" rgb="C4D0DD"/>
      </x:left>
      <x:top/>
      <x:bottom/>
    </x:border>
    <x:border>
      <x:right>
        <x:color indexed="1" rgb="C4D0DD"/>
      </x:right>
      <x:top/>
      <x:bottom/>
    </x:border>
    <x:border>
      <x:left>
        <x:color indexed="1" rgb="C4D0DD"/>
      </x:left>
      <x:top/>
      <x:bottom>
        <x:color indexed="1" rgb="C4D0DD"/>
      </x:bottom>
    </x:border>
    <x:border>
      <x:right>
        <x:color indexed="1" rgb="C4D0DD"/>
      </x:right>
      <x:top/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/>
      </x:bottom>
    </x:border>
    <x:border>
      <x:right>
        <x:color indexed="1" rgb="C4D0DD"/>
      </x:right>
      <x:top>
        <x:color indexed="1" rgb="C4D0DD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/>
      </x:bottom>
    </x:border>
    <x:border>
      <x:right>
        <x:color indexed="1" rgb="C4D0DD"/>
      </x:right>
      <x:top>
        <x:color indexed="1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 rgb="C4D0DD"/>
      </x:bottom>
    </x:border>
    <x:border>
      <x:right>
        <x:color indexed="1" rgb="C4D0DD"/>
      </x:right>
      <x:top>
        <x:color indexed="1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/>
      </x:bottom>
    </x:border>
    <x:border>
      <x:right>
        <x:color indexed="1" rgb="C4D0DD"/>
      </x:right>
      <x:top>
        <x:color indexed="1" rgb="C4D0DD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/>
      </x:bottom>
    </x:border>
    <x:border>
      <x:right>
        <x:color indexed="1" rgb="C4D0DD"/>
      </x:right>
      <x:top>
        <x:color indexed="1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 rgb="C4D0DD"/>
      </x:bottom>
    </x:border>
    <x:border>
      <x:right>
        <x:color indexed="1" rgb="C4D0DD"/>
      </x:right>
      <x:top>
        <x:color indexed="1"/>
      </x:top>
      <x:bottom>
        <x:color indexed="1" rgb="C4D0DD"/>
      </x:bottom>
    </x:border>
    <x:border>
      <x:left>
        <x:color indexed="1" rgb="C4D0DD"/>
      </x:left>
      <x:right/>
      <x:top>
        <x:color indexed="1" rgb="C4D0DD"/>
      </x:top>
      <x:bottom>
        <x:color indexed="1" rgb="C4D0DD"/>
      </x:bottom>
    </x:border>
    <x:border>
      <x:left/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/>
      <x:top>
        <x:color indexed="1" rgb="C4D0DD"/>
      </x:top>
      <x:bottom>
        <x:color indexed="1" rgb="C4D0DD"/>
      </x:bottom>
    </x:border>
    <x:border>
      <x:left/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top/>
      <x:bottom/>
    </x:border>
    <x:border>
      <x:top/>
      <x:bottom>
        <x:color indexed="1" rgb="C4D0DD"/>
      </x:bottom>
    </x:border>
    <x:border>
      <x:top/>
      <x:bottom/>
    </x:border>
    <x:border>
      <x:top/>
      <x:bottom>
        <x:color indexed="1" rgb="C4D0DD"/>
      </x:bottom>
    </x:border>
    <x:border>
      <x:top>
        <x:color indexed="1"/>
      </x:top>
      <x:bottom>
        <x:color indexed="1"/>
      </x:bottom>
    </x:border>
    <x:border>
      <x:top>
        <x:color indexed="1"/>
      </x:top>
      <x:bottom>
        <x:color indexed="1" rgb="C4D0DD"/>
      </x:bottom>
    </x:border>
    <x:border>
      <x:top>
        <x:color indexed="1"/>
      </x:top>
      <x:bottom>
        <x:color indexed="1"/>
      </x:bottom>
    </x:border>
    <x:border>
      <x:top>
        <x:color indexed="1"/>
      </x:top>
      <x:bottom>
        <x:color indexed="1" rgb="C4D0DD"/>
      </x:bottom>
    </x:border>
    <x:border>
      <x:left/>
      <x:right/>
      <x:top>
        <x:color indexed="1" rgb="C4D0DD"/>
      </x:top>
      <x:bottom>
        <x:color indexed="1" rgb="C4D0DD"/>
      </x:bottom>
    </x:border>
    <x:border>
      <x:left/>
      <x:right/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/>
      </x:right>
      <x:top>
        <x:color indexed="1" rgb="C4D0DD"/>
      </x:top>
      <x:bottom>
        <x:color indexed="1" rgb="C4D0DD"/>
      </x:bottom>
    </x:border>
  </x:borders>
  <x:cellStyleXfs count="1">
    <x:xf numFmtId="0" fontId="0" fillId="0" borderId="0"/>
  </x:cellStyleXfs>
  <x:cellXfs count="625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6" fillId="4" borderId="11" xfId="0" applyNumberFormat="1" applyFont="1" applyFill="1" applyBorder="1" applyAlignment="1">
      <x:alignment vertical="center" wrapText="1"/>
    </x:xf>
    <x:xf numFmtId="0" fontId="6" fillId="4" borderId="12" xfId="0" applyNumberFormat="1" applyFont="1" applyFill="1" applyBorder="1" applyAlignment="1">
      <x:alignment vertical="center" wrapText="1"/>
    </x:xf>
    <x:xf numFmtId="0" fontId="6" fillId="4" borderId="13" xfId="0" applyNumberFormat="1" applyFont="1" applyFill="1" applyBorder="1" applyAlignment="1">
      <x:alignment vertical="center" wrapText="1"/>
    </x:xf>
    <x:xf numFmtId="0" fontId="5" fillId="3" borderId="14" xfId="0" applyNumberFormat="1" applyFont="1" applyFill="1" applyBorder="1" applyAlignment="1">
      <x:alignment vertical="center" wrapText="1"/>
    </x:xf>
    <x:xf numFmtId="0" fontId="5" fillId="3" borderId="15" xfId="0" applyNumberFormat="1" applyFont="1" applyFill="1" applyBorder="1" applyAlignment="1">
      <x:alignment vertical="center" wrapText="1"/>
    </x:xf>
    <x:xf numFmtId="0" fontId="6" fillId="4" borderId="15" xfId="0" applyNumberFormat="1" applyFont="1" applyFill="1" applyBorder="1" applyAlignment="1">
      <x:alignment vertical="center" wrapText="1"/>
    </x:xf>
    <x:xf numFmtId="0" fontId="6" fillId="4" borderId="16" xfId="0" applyNumberFormat="1" applyFont="1" applyFill="1" applyBorder="1" applyAlignment="1">
      <x:alignment vertical="center" wrapText="1"/>
    </x:xf>
    <x:xf numFmtId="0" fontId="5" fillId="3" borderId="17" xfId="0" applyNumberFormat="1" applyFont="1" applyFill="1" applyBorder="1" applyAlignment="1">
      <x:alignment vertical="center" wrapText="1"/>
    </x:xf>
    <x:xf numFmtId="0" fontId="5" fillId="3" borderId="18" xfId="0" applyNumberFormat="1" applyFont="1" applyFill="1" applyBorder="1" applyAlignment="1">
      <x:alignment vertical="center" wrapText="1"/>
    </x:xf>
    <x:xf numFmtId="0" fontId="6" fillId="4" borderId="18" xfId="0" applyNumberFormat="1" applyFont="1" applyFill="1" applyBorder="1" applyAlignment="1">
      <x:alignment vertical="center" wrapText="1"/>
    </x:xf>
    <x:xf numFmtId="0" fontId="6" fillId="4" borderId="19" xfId="0" applyNumberFormat="1" applyFont="1" applyFill="1" applyBorder="1" applyAlignment="1">
      <x:alignment vertical="center" wrapText="1"/>
    </x:xf>
    <x:xf numFmtId="0" fontId="5" fillId="3" borderId="20" xfId="0" applyNumberFormat="1" applyFont="1" applyFill="1" applyBorder="1" applyAlignment="1">
      <x:alignment vertical="center" wrapText="1"/>
    </x:xf>
    <x:xf numFmtId="0" fontId="5" fillId="3" borderId="21" xfId="0" applyNumberFormat="1" applyFont="1" applyFill="1" applyBorder="1" applyAlignment="1">
      <x:alignment vertical="center" wrapText="1"/>
    </x:xf>
    <x:xf numFmtId="0" fontId="6" fillId="4" borderId="21" xfId="0" applyNumberFormat="1" applyFont="1" applyFill="1" applyBorder="1" applyAlignment="1">
      <x:alignment vertical="center" wrapText="1"/>
    </x:xf>
    <x:xf numFmtId="0" fontId="6" fillId="4" borderId="22" xfId="0" applyNumberFormat="1" applyFont="1" applyFill="1" applyBorder="1" applyAlignment="1">
      <x:alignment vertical="center" wrapText="1"/>
    </x:xf>
    <x:xf numFmtId="0" fontId="5" fillId="3" borderId="23" xfId="0" applyNumberFormat="1" applyFont="1" applyFill="1" applyBorder="1" applyAlignment="1">
      <x:alignment vertical="center" wrapText="1"/>
    </x:xf>
    <x:xf numFmtId="0" fontId="5" fillId="3" borderId="24" xfId="0" applyNumberFormat="1" applyFont="1" applyFill="1" applyBorder="1" applyAlignment="1">
      <x:alignment vertical="center" wrapText="1"/>
    </x:xf>
    <x:xf numFmtId="0" fontId="6" fillId="4" borderId="24" xfId="0" applyNumberFormat="1" applyFont="1" applyFill="1" applyBorder="1" applyAlignment="1">
      <x:alignment vertical="center" wrapText="1"/>
    </x:xf>
    <x:xf numFmtId="0" fontId="6" fillId="4" borderId="25" xfId="0" applyNumberFormat="1" applyFont="1" applyFill="1" applyBorder="1" applyAlignment="1">
      <x:alignment vertical="center" wrapText="1"/>
    </x:xf>
    <x:xf numFmtId="0" fontId="5" fillId="3" borderId="26" xfId="0" applyNumberFormat="1" applyFont="1" applyFill="1" applyBorder="1" applyAlignment="1">
      <x:alignment vertical="center" wrapText="1"/>
    </x:xf>
    <x:xf numFmtId="0" fontId="5" fillId="3" borderId="27" xfId="0" applyNumberFormat="1" applyFont="1" applyFill="1" applyBorder="1" applyAlignment="1">
      <x:alignment vertical="center" wrapText="1"/>
    </x:xf>
    <x:xf numFmtId="0" fontId="6" fillId="4" borderId="27" xfId="0" applyNumberFormat="1" applyFont="1" applyFill="1" applyBorder="1" applyAlignment="1">
      <x:alignment vertical="center" wrapText="1"/>
    </x:xf>
    <x:xf numFmtId="0" fontId="6" fillId="4" borderId="28" xfId="0" applyNumberFormat="1" applyFont="1" applyFill="1" applyBorder="1" applyAlignment="1">
      <x:alignment vertical="center" wrapText="1"/>
    </x:xf>
    <x:xf numFmtId="0" fontId="5" fillId="3" borderId="29" xfId="0" applyNumberFormat="1" applyFont="1" applyFill="1" applyBorder="1" applyAlignment="1">
      <x:alignment vertical="center" wrapText="1"/>
    </x:xf>
    <x:xf numFmtId="0" fontId="5" fillId="3" borderId="30" xfId="0" applyNumberFormat="1" applyFont="1" applyFill="1" applyBorder="1" applyAlignment="1">
      <x:alignment vertical="center" wrapText="1"/>
    </x:xf>
    <x:xf numFmtId="0" fontId="6" fillId="4" borderId="30" xfId="0" applyNumberFormat="1" applyFont="1" applyFill="1" applyBorder="1" applyAlignment="1">
      <x:alignment vertical="center" wrapText="1"/>
    </x:xf>
    <x:xf numFmtId="0" fontId="6" fillId="4" borderId="31" xfId="0" applyNumberFormat="1" applyFont="1" applyFill="1" applyBorder="1" applyAlignment="1">
      <x:alignment vertical="center" wrapText="1"/>
    </x:xf>
    <x:xf numFmtId="0" fontId="5" fillId="3" borderId="32" xfId="0" applyNumberFormat="1" applyFont="1" applyFill="1" applyBorder="1" applyAlignment="1">
      <x:alignment vertical="center" wrapText="1"/>
    </x:xf>
    <x:xf numFmtId="0" fontId="5" fillId="3" borderId="33" xfId="0" applyNumberFormat="1" applyFont="1" applyFill="1" applyBorder="1" applyAlignment="1">
      <x:alignment vertical="center" wrapText="1"/>
    </x:xf>
    <x:xf numFmtId="0" fontId="6" fillId="4" borderId="33" xfId="0" applyNumberFormat="1" applyFont="1" applyFill="1" applyBorder="1" applyAlignment="1">
      <x:alignment vertical="center" wrapText="1"/>
    </x:xf>
    <x:xf numFmtId="0" fontId="6" fillId="4" borderId="34" xfId="0" applyNumberFormat="1" applyFont="1" applyFill="1" applyBorder="1" applyAlignment="1">
      <x:alignment vertical="center" wrapText="1"/>
    </x:xf>
    <x:xf numFmtId="0" fontId="5" fillId="3" borderId="35" xfId="0" applyNumberFormat="1" applyFont="1" applyFill="1" applyBorder="1" applyAlignment="1">
      <x:alignment vertical="center" wrapText="1"/>
    </x:xf>
    <x:xf numFmtId="0" fontId="5" fillId="3" borderId="36" xfId="0" applyNumberFormat="1" applyFont="1" applyFill="1" applyBorder="1" applyAlignment="1">
      <x:alignment vertical="center" wrapText="1"/>
    </x:xf>
    <x:xf numFmtId="0" fontId="6" fillId="4" borderId="36" xfId="0" applyNumberFormat="1" applyFont="1" applyFill="1" applyBorder="1" applyAlignment="1">
      <x:alignment vertical="center" wrapText="1"/>
    </x:xf>
    <x:xf numFmtId="0" fontId="6" fillId="4" borderId="37" xfId="0" applyNumberFormat="1" applyFont="1" applyFill="1" applyBorder="1" applyAlignment="1">
      <x:alignment vertical="center" wrapText="1"/>
    </x:xf>
    <x:xf numFmtId="0" fontId="5" fillId="3" borderId="38" xfId="0" applyNumberFormat="1" applyFont="1" applyFill="1" applyBorder="1" applyAlignment="1">
      <x:alignment vertical="center" wrapText="1"/>
    </x:xf>
    <x:xf numFmtId="0" fontId="5" fillId="3" borderId="39" xfId="0" applyNumberFormat="1" applyFont="1" applyFill="1" applyBorder="1" applyAlignment="1">
      <x:alignment vertical="center" wrapText="1"/>
    </x:xf>
    <x:xf numFmtId="0" fontId="6" fillId="4" borderId="39" xfId="0" applyNumberFormat="1" applyFont="1" applyFill="1" applyBorder="1" applyAlignment="1">
      <x:alignment vertical="center" wrapText="1"/>
    </x:xf>
    <x:xf numFmtId="0" fontId="6" fillId="4" borderId="40" xfId="0" applyNumberFormat="1" applyFont="1" applyFill="1" applyBorder="1" applyAlignment="1">
      <x:alignment vertical="center" wrapText="1"/>
    </x:xf>
    <x:xf numFmtId="0" fontId="5" fillId="3" borderId="41" xfId="0" applyNumberFormat="1" applyFont="1" applyFill="1" applyBorder="1" applyAlignment="1">
      <x:alignment vertical="center" wrapText="1"/>
    </x:xf>
    <x:xf numFmtId="0" fontId="5" fillId="3" borderId="42" xfId="0" applyNumberFormat="1" applyFont="1" applyFill="1" applyBorder="1" applyAlignment="1">
      <x:alignment vertical="center" wrapText="1"/>
    </x:xf>
    <x:xf numFmtId="0" fontId="6" fillId="4" borderId="42" xfId="0" applyNumberFormat="1" applyFont="1" applyFill="1" applyBorder="1" applyAlignment="1">
      <x:alignment vertical="center" wrapText="1"/>
    </x:xf>
    <x:xf numFmtId="0" fontId="6" fillId="4" borderId="43" xfId="0" applyNumberFormat="1" applyFont="1" applyFill="1" applyBorder="1" applyAlignment="1">
      <x:alignment vertical="center" wrapText="1"/>
    </x:xf>
    <x:xf numFmtId="0" fontId="5" fillId="3" borderId="44" xfId="0" applyNumberFormat="1" applyFont="1" applyFill="1" applyBorder="1" applyAlignment="1">
      <x:alignment vertical="center" wrapText="1"/>
    </x:xf>
    <x:xf numFmtId="0" fontId="5" fillId="3" borderId="45" xfId="0" applyNumberFormat="1" applyFont="1" applyFill="1" applyBorder="1" applyAlignment="1">
      <x:alignment vertical="center" wrapText="1"/>
    </x:xf>
    <x:xf numFmtId="0" fontId="6" fillId="4" borderId="45" xfId="0" applyNumberFormat="1" applyFont="1" applyFill="1" applyBorder="1" applyAlignment="1">
      <x:alignment vertical="center" wrapText="1"/>
    </x:xf>
    <x:xf numFmtId="0" fontId="6" fillId="4" borderId="46" xfId="0" applyNumberFormat="1" applyFont="1" applyFill="1" applyBorder="1" applyAlignment="1">
      <x:alignment vertical="center" wrapText="1"/>
    </x:xf>
    <x:xf numFmtId="0" fontId="5" fillId="3" borderId="47" xfId="0" applyNumberFormat="1" applyFont="1" applyFill="1" applyBorder="1" applyAlignment="1">
      <x:alignment vertical="center" wrapText="1"/>
    </x:xf>
    <x:xf numFmtId="0" fontId="5" fillId="3" borderId="48" xfId="0" applyNumberFormat="1" applyFont="1" applyFill="1" applyBorder="1" applyAlignment="1">
      <x:alignment vertical="center" wrapText="1"/>
    </x:xf>
    <x:xf numFmtId="0" fontId="6" fillId="4" borderId="48" xfId="0" applyNumberFormat="1" applyFont="1" applyFill="1" applyBorder="1" applyAlignment="1">
      <x:alignment vertical="center" wrapText="1"/>
    </x:xf>
    <x:xf numFmtId="0" fontId="6" fillId="4" borderId="49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2" xfId="0" applyNumberFormat="1" applyFont="1" applyFill="1" applyBorder="1"/>
    <x:xf numFmtId="0" fontId="8" fillId="4" borderId="3" xfId="0" applyNumberFormat="1" applyFont="1" applyFill="1" applyBorder="1"/>
    <x:xf numFmtId="0" fontId="8" fillId="4" borderId="4" xfId="0" applyNumberFormat="1" applyFont="1" applyFill="1" applyBorder="1"/>
    <x:xf numFmtId="0" fontId="8" fillId="4" borderId="5" xfId="0" applyNumberFormat="1" applyFont="1" applyFill="1" applyBorder="1"/>
    <x:xf numFmtId="0" fontId="8" fillId="4" borderId="6" xfId="0" applyNumberFormat="1" applyFont="1" applyFill="1" applyBorder="1"/>
    <x:xf numFmtId="0" fontId="8" fillId="4" borderId="7" xfId="0" applyNumberFormat="1" applyFont="1" applyFill="1" applyBorder="1"/>
    <x:xf numFmtId="0" fontId="8" fillId="4" borderId="50" xfId="0" applyNumberFormat="1" applyFont="1" applyFill="1" applyBorder="1"/>
    <x:xf numFmtId="0" fontId="8" fillId="4" borderId="51" xfId="0" applyNumberFormat="1" applyFont="1" applyFill="1" applyBorder="1"/>
    <x:xf numFmtId="0" fontId="8" fillId="4" borderId="52" xfId="0" applyNumberFormat="1" applyFont="1" applyFill="1" applyBorder="1"/>
    <x:xf numFmtId="0" fontId="8" fillId="4" borderId="53" xfId="0" applyNumberFormat="1" applyFont="1" applyFill="1" applyBorder="1"/>
    <x:xf numFmtId="0" fontId="8" fillId="4" borderId="54" xfId="0" applyNumberFormat="1" applyFont="1" applyFill="1" applyBorder="1"/>
    <x:xf numFmtId="0" fontId="8" fillId="4" borderId="55" xfId="0" applyNumberFormat="1" applyFont="1" applyFill="1" applyBorder="1"/>
    <x:xf numFmtId="0" fontId="8" fillId="4" borderId="56" xfId="0" applyNumberFormat="1" applyFont="1" applyFill="1" applyBorder="1"/>
    <x:xf numFmtId="0" fontId="8" fillId="4" borderId="57" xfId="0" applyNumberFormat="1" applyFont="1" applyFill="1" applyBorder="1"/>
    <x:xf numFmtId="0" fontId="8" fillId="4" borderId="58" xfId="0" applyNumberFormat="1" applyFont="1" applyFill="1" applyBorder="1"/>
    <x:xf numFmtId="0" fontId="8" fillId="4" borderId="59" xfId="0" applyNumberFormat="1" applyFont="1" applyFill="1" applyBorder="1"/>
    <x:xf numFmtId="0" fontId="8" fillId="4" borderId="60" xfId="0" applyNumberFormat="1" applyFont="1" applyFill="1" applyBorder="1"/>
    <x:xf numFmtId="0" fontId="8" fillId="4" borderId="61" xfId="0" applyNumberFormat="1" applyFont="1" applyFill="1" applyBorder="1"/>
    <x:xf numFmtId="0" fontId="8" fillId="4" borderId="62" xfId="0" applyNumberFormat="1" applyFont="1" applyFill="1" applyBorder="1"/>
    <x:xf numFmtId="0" fontId="8" fillId="4" borderId="63" xfId="0" applyNumberFormat="1" applyFont="1" applyFill="1" applyBorder="1"/>
    <x:xf numFmtId="0" fontId="8" fillId="4" borderId="64" xfId="0" applyNumberFormat="1" applyFont="1" applyFill="1" applyBorder="1"/>
    <x:xf numFmtId="0" fontId="8" fillId="4" borderId="65" xfId="0" applyNumberFormat="1" applyFont="1" applyFill="1" applyBorder="1"/>
    <x:xf numFmtId="0" fontId="8" fillId="4" borderId="66" xfId="0" applyNumberFormat="1" applyFont="1" applyFill="1" applyBorder="1"/>
    <x:xf numFmtId="0" fontId="8" fillId="4" borderId="67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9" fillId="5" borderId="2" xfId="0" applyNumberFormat="1" applyFont="1" applyFill="1" applyBorder="1"/>
    <x:xf numFmtId="0" fontId="2" fillId="6" borderId="2" xfId="0" applyNumberFormat="1" applyFont="1" applyFill="1" applyBorder="1"/>
    <x:xf numFmtId="0" fontId="9" fillId="5" borderId="3" xfId="0" applyNumberFormat="1" applyFont="1" applyFill="1" applyBorder="1"/>
    <x:xf numFmtId="0" fontId="2" fillId="6" borderId="3" xfId="0" applyNumberFormat="1" applyFont="1" applyFill="1" applyBorder="1"/>
    <x:xf numFmtId="0" fontId="9" fillId="5" borderId="4" xfId="0" applyNumberFormat="1" applyFont="1" applyFill="1" applyBorder="1"/>
    <x:xf numFmtId="0" fontId="2" fillId="6" borderId="4" xfId="0" applyNumberFormat="1" applyFont="1" applyFill="1" applyBorder="1"/>
    <x:xf numFmtId="0" fontId="9" fillId="5" borderId="5" xfId="0" applyNumberFormat="1" applyFont="1" applyFill="1" applyBorder="1"/>
    <x:xf numFmtId="0" fontId="2" fillId="6" borderId="5" xfId="0" applyNumberFormat="1" applyFont="1" applyFill="1" applyBorder="1"/>
    <x:xf numFmtId="0" fontId="9" fillId="5" borderId="68" xfId="0" applyNumberFormat="1" applyFont="1" applyFill="1" applyBorder="1"/>
    <x:xf numFmtId="0" fontId="2" fillId="6" borderId="68" xfId="0" applyNumberFormat="1" applyFont="1" applyFill="1" applyBorder="1"/>
    <x:xf numFmtId="0" fontId="9" fillId="5" borderId="69" xfId="0" applyNumberFormat="1" applyFont="1" applyFill="1" applyBorder="1"/>
    <x:xf numFmtId="0" fontId="2" fillId="6" borderId="69" xfId="0" applyNumberFormat="1" applyFont="1" applyFill="1" applyBorder="1"/>
    <x:xf numFmtId="0" fontId="9" fillId="5" borderId="70" xfId="0" applyNumberFormat="1" applyFont="1" applyFill="1" applyBorder="1"/>
    <x:xf numFmtId="0" fontId="2" fillId="6" borderId="70" xfId="0" applyNumberFormat="1" applyFont="1" applyFill="1" applyBorder="1"/>
    <x:xf numFmtId="0" fontId="9" fillId="5" borderId="71" xfId="0" applyNumberFormat="1" applyFont="1" applyFill="1" applyBorder="1"/>
    <x:xf numFmtId="0" fontId="2" fillId="6" borderId="71" xfId="0" applyNumberFormat="1" applyFont="1" applyFill="1" applyBorder="1"/>
    <x:xf numFmtId="0" fontId="9" fillId="5" borderId="72" xfId="0" applyNumberFormat="1" applyFont="1" applyFill="1" applyBorder="1"/>
    <x:xf numFmtId="0" fontId="2" fillId="6" borderId="72" xfId="0" applyNumberFormat="1" applyFont="1" applyFill="1" applyBorder="1"/>
    <x:xf numFmtId="0" fontId="9" fillId="5" borderId="73" xfId="0" applyNumberFormat="1" applyFont="1" applyFill="1" applyBorder="1"/>
    <x:xf numFmtId="0" fontId="2" fillId="6" borderId="73" xfId="0" applyNumberFormat="1" applyFont="1" applyFill="1" applyBorder="1"/>
    <x:xf numFmtId="0" fontId="9" fillId="5" borderId="74" xfId="0" applyNumberFormat="1" applyFont="1" applyFill="1" applyBorder="1"/>
    <x:xf numFmtId="0" fontId="2" fillId="6" borderId="74" xfId="0" applyNumberFormat="1" applyFont="1" applyFill="1" applyBorder="1"/>
    <x:xf numFmtId="0" fontId="9" fillId="5" borderId="75" xfId="0" applyNumberFormat="1" applyFont="1" applyFill="1" applyBorder="1"/>
    <x:xf numFmtId="0" fontId="2" fillId="6" borderId="75" xfId="0" applyNumberFormat="1" applyFont="1" applyFill="1" applyBorder="1"/>
    <x:xf numFmtId="0" fontId="9" fillId="5" borderId="76" xfId="0" applyNumberFormat="1" applyFont="1" applyFill="1" applyBorder="1"/>
    <x:xf numFmtId="0" fontId="9" fillId="5" borderId="77" xfId="0" applyNumberFormat="1" applyFont="1" applyFill="1" applyBorder="1"/>
    <x:xf numFmtId="0" fontId="9" fillId="5" borderId="78" xfId="0" applyNumberFormat="1" applyFont="1" applyFill="1" applyBorder="1"/>
    <x:xf numFmtId="0" fontId="9" fillId="5" borderId="79" xfId="0" applyNumberFormat="1" applyFont="1" applyFill="1" applyBorder="1"/>
    <x:xf numFmtId="0" fontId="9" fillId="5" borderId="80" xfId="0" applyNumberFormat="1" applyFont="1" applyFill="1" applyBorder="1"/>
    <x:xf numFmtId="0" fontId="9" fillId="5" borderId="81" xfId="0" applyNumberFormat="1" applyFont="1" applyFill="1" applyBorder="1"/>
    <x:xf numFmtId="0" fontId="2" fillId="6" borderId="82" xfId="0" applyNumberFormat="1" applyFont="1" applyFill="1" applyBorder="1"/>
    <x:xf numFmtId="0" fontId="2" fillId="6" borderId="83" xfId="0" applyNumberFormat="1" applyFont="1" applyFill="1" applyBorder="1"/>
    <x:xf numFmtId="0" fontId="2" fillId="6" borderId="84" xfId="0" applyNumberFormat="1" applyFont="1" applyFill="1" applyBorder="1"/>
    <x:xf numFmtId="0" fontId="2" fillId="6" borderId="85" xfId="0" applyNumberFormat="1" applyFont="1" applyFill="1" applyBorder="1"/>
    <x:xf numFmtId="0" fontId="2" fillId="6" borderId="86" xfId="0" applyNumberFormat="1" applyFont="1" applyFill="1" applyBorder="1"/>
    <x:xf numFmtId="0" fontId="2" fillId="6" borderId="87" xfId="0" applyNumberFormat="1" applyFont="1" applyFill="1" applyBorder="1"/>
    <x:xf numFmtId="0" fontId="9" fillId="5" borderId="88" xfId="0" applyNumberFormat="1" applyFont="1" applyFill="1" applyBorder="1"/>
    <x:xf numFmtId="0" fontId="2" fillId="6" borderId="89" xfId="0" applyNumberFormat="1" applyFont="1" applyFill="1" applyBorder="1"/>
    <x:xf numFmtId="0" fontId="9" fillId="5" borderId="90" xfId="0" applyNumberFormat="1" applyFont="1" applyFill="1" applyBorder="1"/>
    <x:xf numFmtId="0" fontId="2" fillId="6" borderId="91" xfId="0" applyNumberFormat="1" applyFont="1" applyFill="1" applyBorder="1"/>
    <x:xf numFmtId="0" fontId="9" fillId="5" borderId="92" xfId="0" applyNumberFormat="1" applyFont="1" applyFill="1" applyBorder="1"/>
    <x:xf numFmtId="0" fontId="2" fillId="6" borderId="93" xfId="0" applyNumberFormat="1" applyFont="1" applyFill="1" applyBorder="1"/>
    <x:xf numFmtId="0" fontId="9" fillId="5" borderId="94" xfId="0" applyNumberFormat="1" applyFont="1" applyFill="1" applyBorder="1"/>
    <x:xf numFmtId="0" fontId="2" fillId="6" borderId="95" xfId="0" applyNumberFormat="1" applyFont="1" applyFill="1" applyBorder="1"/>
    <x:xf numFmtId="0" fontId="9" fillId="5" borderId="96" xfId="0" applyNumberFormat="1" applyFont="1" applyFill="1" applyBorder="1"/>
    <x:xf numFmtId="0" fontId="2" fillId="6" borderId="96" xfId="0" applyNumberFormat="1" applyFont="1" applyFill="1" applyBorder="1"/>
    <x:xf numFmtId="0" fontId="9" fillId="5" borderId="97" xfId="0" applyNumberFormat="1" applyFont="1" applyFill="1" applyBorder="1"/>
    <x:xf numFmtId="0" fontId="2" fillId="6" borderId="97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11" xfId="0" applyNumberFormat="1" applyFont="1" applyFill="1" applyBorder="1" applyAlignment="1">
      <x:alignment wrapText="1"/>
    </x:xf>
    <x:xf numFmtId="0" fontId="2" fillId="5" borderId="98" xfId="0" applyNumberFormat="1" applyFont="1" applyFill="1" applyBorder="1" applyAlignment="1">
      <x:alignment wrapText="1"/>
    </x:xf>
    <x:xf numFmtId="0" fontId="2" fillId="5" borderId="99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6" borderId="2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7" fillId="6" borderId="3" xfId="0" applyNumberFormat="1" applyFont="1" applyFill="1" applyBorder="1"/>
    <x:xf numFmtId="0" fontId="2" fillId="5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/>
    <x:xf numFmtId="0" fontId="2" fillId="5" borderId="5" xfId="0" applyNumberFormat="1" applyFont="1" applyFill="1" applyBorder="1" applyAlignment="1">
      <x:alignment wrapText="1"/>
    </x:xf>
    <x:xf numFmtId="0" fontId="7" fillId="6" borderId="68" xfId="0" applyNumberFormat="1" applyFont="1" applyFill="1" applyBorder="1"/>
    <x:xf numFmtId="0" fontId="2" fillId="5" borderId="68" xfId="0" applyNumberFormat="1" applyFont="1" applyFill="1" applyBorder="1" applyAlignment="1">
      <x:alignment wrapText="1"/>
    </x:xf>
    <x:xf numFmtId="0" fontId="7" fillId="6" borderId="69" xfId="0" applyNumberFormat="1" applyFont="1" applyFill="1" applyBorder="1"/>
    <x:xf numFmtId="0" fontId="2" fillId="5" borderId="69" xfId="0" applyNumberFormat="1" applyFont="1" applyFill="1" applyBorder="1" applyAlignment="1">
      <x:alignment wrapText="1"/>
    </x:xf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7" fillId="8" borderId="10" xfId="0" applyNumberFormat="1" applyFont="1" applyFill="1" applyBorder="1"/>
    <x:xf numFmtId="0" fontId="7" fillId="8" borderId="11" xfId="0" applyNumberFormat="1" applyFont="1" applyFill="1" applyBorder="1"/>
    <x:xf numFmtId="0" fontId="7" fillId="8" borderId="98" xfId="0" applyNumberFormat="1" applyFont="1" applyFill="1" applyBorder="1"/>
    <x:xf numFmtId="0" fontId="7" fillId="8" borderId="99" xfId="0" applyNumberFormat="1" applyFont="1" applyFill="1" applyBorder="1"/>
    <x:xf numFmtId="0" fontId="7" fillId="6" borderId="100" xfId="0" applyNumberFormat="1" applyFont="1" applyFill="1" applyBorder="1"/>
    <x:xf numFmtId="0" fontId="7" fillId="7" borderId="15" xfId="0" applyNumberFormat="1" applyFont="1" applyFill="1" applyBorder="1"/>
    <x:xf numFmtId="0" fontId="7" fillId="8" borderId="101" xfId="0" applyNumberFormat="1" applyFont="1" applyFill="1" applyBorder="1"/>
    <x:xf numFmtId="0" fontId="7" fillId="6" borderId="102" xfId="0" applyNumberFormat="1" applyFont="1" applyFill="1" applyBorder="1"/>
    <x:xf numFmtId="0" fontId="7" fillId="7" borderId="18" xfId="0" applyNumberFormat="1" applyFont="1" applyFill="1" applyBorder="1"/>
    <x:xf numFmtId="0" fontId="7" fillId="8" borderId="103" xfId="0" applyNumberFormat="1" applyFont="1" applyFill="1" applyBorder="1"/>
    <x:xf numFmtId="0" fontId="7" fillId="6" borderId="104" xfId="0" applyNumberFormat="1" applyFont="1" applyFill="1" applyBorder="1"/>
    <x:xf numFmtId="0" fontId="7" fillId="7" borderId="21" xfId="0" applyNumberFormat="1" applyFont="1" applyFill="1" applyBorder="1"/>
    <x:xf numFmtId="0" fontId="7" fillId="8" borderId="105" xfId="0" applyNumberFormat="1" applyFont="1" applyFill="1" applyBorder="1"/>
    <x:xf numFmtId="0" fontId="7" fillId="6" borderId="106" xfId="0" applyNumberFormat="1" applyFont="1" applyFill="1" applyBorder="1"/>
    <x:xf numFmtId="0" fontId="7" fillId="7" borderId="24" xfId="0" applyNumberFormat="1" applyFont="1" applyFill="1" applyBorder="1"/>
    <x:xf numFmtId="0" fontId="7" fillId="8" borderId="107" xfId="0" applyNumberFormat="1" applyFont="1" applyFill="1" applyBorder="1"/>
    <x:xf numFmtId="0" fontId="7" fillId="6" borderId="108" xfId="0" applyNumberFormat="1" applyFont="1" applyFill="1" applyBorder="1"/>
    <x:xf numFmtId="0" fontId="7" fillId="7" borderId="109" xfId="0" applyNumberFormat="1" applyFont="1" applyFill="1" applyBorder="1"/>
    <x:xf numFmtId="0" fontId="7" fillId="8" borderId="110" xfId="0" applyNumberFormat="1" applyFont="1" applyFill="1" applyBorder="1"/>
    <x:xf numFmtId="0" fontId="7" fillId="6" borderId="111" xfId="0" applyNumberFormat="1" applyFont="1" applyFill="1" applyBorder="1"/>
    <x:xf numFmtId="0" fontId="7" fillId="7" borderId="112" xfId="0" applyNumberFormat="1" applyFont="1" applyFill="1" applyBorder="1"/>
    <x:xf numFmtId="0" fontId="7" fillId="8" borderId="113" xfId="0" applyNumberFormat="1" applyFont="1" applyFill="1" applyBorder="1"/>
    <x:xf numFmtId="0" fontId="2" fillId="5" borderId="114" xfId="0" applyNumberFormat="1" applyFont="1" applyFill="1" applyBorder="1" applyAlignment="1">
      <x:alignment wrapText="1"/>
    </x:xf>
    <x:xf numFmtId="0" fontId="2" fillId="5" borderId="33" xfId="0" applyNumberFormat="1" applyFont="1" applyFill="1" applyBorder="1" applyAlignment="1">
      <x:alignment wrapText="1"/>
    </x:xf>
    <x:xf numFmtId="0" fontId="2" fillId="5" borderId="115" xfId="0" applyNumberFormat="1" applyFont="1" applyFill="1" applyBorder="1" applyAlignment="1">
      <x:alignment wrapText="1"/>
    </x:xf>
    <x:xf numFmtId="0" fontId="2" fillId="5" borderId="116" xfId="0" applyNumberFormat="1" applyFont="1" applyFill="1" applyBorder="1" applyAlignment="1">
      <x:alignment wrapText="1"/>
    </x:xf>
    <x:xf numFmtId="0" fontId="2" fillId="5" borderId="36" xfId="0" applyNumberFormat="1" applyFont="1" applyFill="1" applyBorder="1" applyAlignment="1">
      <x:alignment wrapText="1"/>
    </x:xf>
    <x:xf numFmtId="0" fontId="2" fillId="5" borderId="117" xfId="0" applyNumberFormat="1" applyFont="1" applyFill="1" applyBorder="1" applyAlignment="1">
      <x:alignment wrapText="1"/>
    </x:xf>
    <x:xf numFmtId="0" fontId="2" fillId="5" borderId="118" xfId="0" applyNumberFormat="1" applyFont="1" applyFill="1" applyBorder="1" applyAlignment="1">
      <x:alignment wrapText="1"/>
    </x:xf>
    <x:xf numFmtId="0" fontId="2" fillId="5" borderId="39" xfId="0" applyNumberFormat="1" applyFont="1" applyFill="1" applyBorder="1" applyAlignment="1">
      <x:alignment wrapText="1"/>
    </x:xf>
    <x:xf numFmtId="0" fontId="2" fillId="5" borderId="119" xfId="0" applyNumberFormat="1" applyFont="1" applyFill="1" applyBorder="1" applyAlignment="1">
      <x:alignment wrapText="1"/>
    </x:xf>
    <x:xf numFmtId="0" fontId="2" fillId="5" borderId="120" xfId="0" applyNumberFormat="1" applyFont="1" applyFill="1" applyBorder="1" applyAlignment="1">
      <x:alignment wrapText="1"/>
    </x:xf>
    <x:xf numFmtId="0" fontId="2" fillId="5" borderId="42" xfId="0" applyNumberFormat="1" applyFont="1" applyFill="1" applyBorder="1" applyAlignment="1">
      <x:alignment wrapText="1"/>
    </x:xf>
    <x:xf numFmtId="0" fontId="2" fillId="5" borderId="121" xfId="0" applyNumberFormat="1" applyFont="1" applyFill="1" applyBorder="1" applyAlignment="1">
      <x:alignment wrapText="1"/>
    </x:xf>
    <x:xf numFmtId="0" fontId="2" fillId="5" borderId="122" xfId="0" applyNumberFormat="1" applyFont="1" applyFill="1" applyBorder="1" applyAlignment="1">
      <x:alignment wrapText="1"/>
    </x:xf>
    <x:xf numFmtId="0" fontId="2" fillId="5" borderId="123" xfId="0" applyNumberFormat="1" applyFont="1" applyFill="1" applyBorder="1" applyAlignment="1">
      <x:alignment wrapText="1"/>
    </x:xf>
    <x:xf numFmtId="0" fontId="2" fillId="5" borderId="124" xfId="0" applyNumberFormat="1" applyFont="1" applyFill="1" applyBorder="1" applyAlignment="1">
      <x:alignment wrapText="1"/>
    </x:xf>
    <x:xf numFmtId="0" fontId="2" fillId="5" borderId="125" xfId="0" applyNumberFormat="1" applyFont="1" applyFill="1" applyBorder="1" applyAlignment="1">
      <x:alignment wrapText="1"/>
    </x:xf>
    <x:xf numFmtId="0" fontId="2" fillId="5" borderId="126" xfId="0" applyNumberFormat="1" applyFont="1" applyFill="1" applyBorder="1" applyAlignment="1">
      <x:alignment wrapText="1"/>
    </x:xf>
    <x:xf numFmtId="0" fontId="2" fillId="5" borderId="127" xfId="0" applyNumberFormat="1" applyFont="1" applyFill="1" applyBorder="1" applyAlignment="1">
      <x:alignment wrapText="1"/>
    </x:xf>
    <x:xf numFmtId="0" fontId="7" fillId="6" borderId="128" xfId="0" applyNumberFormat="1" applyFont="1" applyFill="1" applyBorder="1"/>
    <x:xf numFmtId="0" fontId="2" fillId="5" borderId="129" xfId="0" applyNumberFormat="1" applyFont="1" applyFill="1" applyBorder="1" applyAlignment="1">
      <x:alignment wrapText="1"/>
    </x:xf>
    <x:xf numFmtId="0" fontId="7" fillId="7" borderId="130" xfId="0" applyNumberFormat="1" applyFont="1" applyFill="1" applyBorder="1"/>
    <x:xf numFmtId="0" fontId="2" fillId="5" borderId="131" xfId="0" applyNumberFormat="1" applyFont="1" applyFill="1" applyBorder="1" applyAlignment="1">
      <x:alignment wrapText="1"/>
    </x:xf>
    <x:xf numFmtId="0" fontId="7" fillId="8" borderId="132" xfId="0" applyNumberFormat="1" applyFont="1" applyFill="1" applyBorder="1"/>
    <x:xf numFmtId="0" fontId="2" fillId="5" borderId="133" xfId="0" applyNumberFormat="1" applyFont="1" applyFill="1" applyBorder="1" applyAlignment="1">
      <x:alignment wrapText="1"/>
    </x:xf>
    <x:xf numFmtId="0" fontId="7" fillId="6" borderId="134" xfId="0" applyNumberFormat="1" applyFont="1" applyFill="1" applyBorder="1"/>
    <x:xf numFmtId="0" fontId="2" fillId="5" borderId="135" xfId="0" applyNumberFormat="1" applyFont="1" applyFill="1" applyBorder="1" applyAlignment="1">
      <x:alignment wrapText="1"/>
    </x:xf>
    <x:xf numFmtId="0" fontId="7" fillId="7" borderId="136" xfId="0" applyNumberFormat="1" applyFont="1" applyFill="1" applyBorder="1"/>
    <x:xf numFmtId="0" fontId="2" fillId="5" borderId="137" xfId="0" applyNumberFormat="1" applyFont="1" applyFill="1" applyBorder="1" applyAlignment="1">
      <x:alignment wrapText="1"/>
    </x:xf>
    <x:xf numFmtId="0" fontId="7" fillId="8" borderId="138" xfId="0" applyNumberFormat="1" applyFont="1" applyFill="1" applyBorder="1"/>
    <x:xf numFmtId="0" fontId="2" fillId="5" borderId="139" xfId="0" applyNumberFormat="1" applyFont="1" applyFill="1" applyBorder="1" applyAlignment="1">
      <x:alignment wrapText="1"/>
    </x:xf>
    <x:xf numFmtId="0" fontId="7" fillId="6" borderId="140" xfId="0" applyNumberFormat="1" applyFont="1" applyFill="1" applyBorder="1"/>
    <x:xf numFmtId="0" fontId="2" fillId="5" borderId="141" xfId="0" applyNumberFormat="1" applyFont="1" applyFill="1" applyBorder="1" applyAlignment="1">
      <x:alignment wrapText="1"/>
    </x:xf>
    <x:xf numFmtId="0" fontId="7" fillId="7" borderId="142" xfId="0" applyNumberFormat="1" applyFont="1" applyFill="1" applyBorder="1"/>
    <x:xf numFmtId="0" fontId="2" fillId="5" borderId="143" xfId="0" applyNumberFormat="1" applyFont="1" applyFill="1" applyBorder="1" applyAlignment="1">
      <x:alignment wrapText="1"/>
    </x:xf>
    <x:xf numFmtId="0" fontId="7" fillId="8" borderId="144" xfId="0" applyNumberFormat="1" applyFont="1" applyFill="1" applyBorder="1"/>
    <x:xf numFmtId="0" fontId="2" fillId="5" borderId="145" xfId="0" applyNumberFormat="1" applyFont="1" applyFill="1" applyBorder="1" applyAlignment="1">
      <x:alignment wrapText="1"/>
    </x:xf>
    <x:xf numFmtId="0" fontId="7" fillId="6" borderId="146" xfId="0" applyNumberFormat="1" applyFont="1" applyFill="1" applyBorder="1"/>
    <x:xf numFmtId="0" fontId="2" fillId="5" borderId="147" xfId="0" applyNumberFormat="1" applyFont="1" applyFill="1" applyBorder="1" applyAlignment="1">
      <x:alignment wrapText="1"/>
    </x:xf>
    <x:xf numFmtId="0" fontId="7" fillId="7" borderId="148" xfId="0" applyNumberFormat="1" applyFont="1" applyFill="1" applyBorder="1"/>
    <x:xf numFmtId="0" fontId="2" fillId="5" borderId="149" xfId="0" applyNumberFormat="1" applyFont="1" applyFill="1" applyBorder="1" applyAlignment="1">
      <x:alignment wrapText="1"/>
    </x:xf>
    <x:xf numFmtId="0" fontId="7" fillId="8" borderId="150" xfId="0" applyNumberFormat="1" applyFont="1" applyFill="1" applyBorder="1"/>
    <x:xf numFmtId="0" fontId="2" fillId="5" borderId="151" xfId="0" applyNumberFormat="1" applyFont="1" applyFill="1" applyBorder="1" applyAlignment="1">
      <x:alignment wrapText="1"/>
    </x:xf>
    <x:xf numFmtId="0" fontId="7" fillId="6" borderId="80" xfId="0" applyNumberFormat="1" applyFont="1" applyFill="1" applyBorder="1"/>
    <x:xf numFmtId="0" fontId="2" fillId="5" borderId="86" xfId="0" applyNumberFormat="1" applyFont="1" applyFill="1" applyBorder="1" applyAlignment="1">
      <x:alignment wrapText="1"/>
    </x:xf>
    <x:xf numFmtId="0" fontId="7" fillId="7" borderId="80" xfId="0" applyNumberFormat="1" applyFont="1" applyFill="1" applyBorder="1"/>
    <x:xf numFmtId="0" fontId="7" fillId="8" borderId="80" xfId="0" applyNumberFormat="1" applyFont="1" applyFill="1" applyBorder="1"/>
    <x:xf numFmtId="0" fontId="7" fillId="6" borderId="81" xfId="0" applyNumberFormat="1" applyFont="1" applyFill="1" applyBorder="1"/>
    <x:xf numFmtId="0" fontId="2" fillId="5" borderId="87" xfId="0" applyNumberFormat="1" applyFont="1" applyFill="1" applyBorder="1" applyAlignment="1">
      <x:alignment wrapText="1"/>
    </x:xf>
    <x:xf numFmtId="0" fontId="7" fillId="7" borderId="81" xfId="0" applyNumberFormat="1" applyFont="1" applyFill="1" applyBorder="1"/>
    <x:xf numFmtId="0" fontId="7" fillId="8" borderId="81" xfId="0" applyNumberFormat="1" applyFont="1" applyFill="1" applyBorder="1"/>
    <x:xf numFmtId="0" fontId="7" fillId="6" borderId="88" xfId="0" applyNumberFormat="1" applyFont="1" applyFill="1" applyBorder="1"/>
    <x:xf numFmtId="0" fontId="2" fillId="5" borderId="89" xfId="0" applyNumberFormat="1" applyFont="1" applyFill="1" applyBorder="1" applyAlignment="1">
      <x:alignment wrapText="1"/>
    </x:xf>
    <x:xf numFmtId="0" fontId="7" fillId="7" borderId="88" xfId="0" applyNumberFormat="1" applyFont="1" applyFill="1" applyBorder="1"/>
    <x:xf numFmtId="0" fontId="7" fillId="8" borderId="88" xfId="0" applyNumberFormat="1" applyFont="1" applyFill="1" applyBorder="1"/>
    <x:xf numFmtId="0" fontId="7" fillId="6" borderId="90" xfId="0" applyNumberFormat="1" applyFont="1" applyFill="1" applyBorder="1"/>
    <x:xf numFmtId="0" fontId="2" fillId="5" borderId="91" xfId="0" applyNumberFormat="1" applyFont="1" applyFill="1" applyBorder="1" applyAlignment="1">
      <x:alignment wrapText="1"/>
    </x:xf>
    <x:xf numFmtId="0" fontId="7" fillId="7" borderId="90" xfId="0" applyNumberFormat="1" applyFont="1" applyFill="1" applyBorder="1"/>
    <x:xf numFmtId="0" fontId="7" fillId="8" borderId="90" xfId="0" applyNumberFormat="1" applyFont="1" applyFill="1" applyBorder="1"/>
    <x:xf numFmtId="0" fontId="7" fillId="6" borderId="92" xfId="0" applyNumberFormat="1" applyFont="1" applyFill="1" applyBorder="1"/>
    <x:xf numFmtId="0" fontId="2" fillId="5" borderId="93" xfId="0" applyNumberFormat="1" applyFont="1" applyFill="1" applyBorder="1" applyAlignment="1">
      <x:alignment wrapText="1"/>
    </x:xf>
    <x:xf numFmtId="0" fontId="7" fillId="7" borderId="92" xfId="0" applyNumberFormat="1" applyFont="1" applyFill="1" applyBorder="1"/>
    <x:xf numFmtId="0" fontId="7" fillId="8" borderId="92" xfId="0" applyNumberFormat="1" applyFont="1" applyFill="1" applyBorder="1"/>
    <x:xf numFmtId="0" fontId="7" fillId="6" borderId="94" xfId="0" applyNumberFormat="1" applyFont="1" applyFill="1" applyBorder="1"/>
    <x:xf numFmtId="0" fontId="2" fillId="5" borderId="95" xfId="0" applyNumberFormat="1" applyFont="1" applyFill="1" applyBorder="1" applyAlignment="1">
      <x:alignment wrapText="1"/>
    </x:xf>
    <x:xf numFmtId="0" fontId="7" fillId="7" borderId="94" xfId="0" applyNumberFormat="1" applyFont="1" applyFill="1" applyBorder="1"/>
    <x:xf numFmtId="0" fontId="7" fillId="8" borderId="94" xfId="0" applyNumberFormat="1" applyFont="1" applyFill="1" applyBorder="1"/>
    <x:xf numFmtId="0" fontId="7" fillId="6" borderId="96" xfId="0" applyNumberFormat="1" applyFont="1" applyFill="1" applyBorder="1"/>
    <x:xf numFmtId="0" fontId="2" fillId="5" borderId="96" xfId="0" applyNumberFormat="1" applyFont="1" applyFill="1" applyBorder="1" applyAlignment="1">
      <x:alignment wrapText="1"/>
    </x:xf>
    <x:xf numFmtId="0" fontId="7" fillId="7" borderId="96" xfId="0" applyNumberFormat="1" applyFont="1" applyFill="1" applyBorder="1"/>
    <x:xf numFmtId="0" fontId="7" fillId="8" borderId="96" xfId="0" applyNumberFormat="1" applyFont="1" applyFill="1" applyBorder="1"/>
    <x:xf numFmtId="0" fontId="7" fillId="6" borderId="97" xfId="0" applyNumberFormat="1" applyFont="1" applyFill="1" applyBorder="1"/>
    <x:xf numFmtId="0" fontId="2" fillId="5" borderId="97" xfId="0" applyNumberFormat="1" applyFont="1" applyFill="1" applyBorder="1" applyAlignment="1">
      <x:alignment wrapText="1"/>
    </x:xf>
    <x:xf numFmtId="0" fontId="7" fillId="7" borderId="97" xfId="0" applyNumberFormat="1" applyFont="1" applyFill="1" applyBorder="1"/>
    <x:xf numFmtId="0" fontId="7" fillId="8" borderId="97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2" fillId="5" borderId="12" xfId="0" applyNumberFormat="1" applyFont="1" applyFill="1" applyBorder="1" applyAlignment="1">
      <x:alignment wrapText="1"/>
    </x:xf>
    <x:xf numFmtId="0" fontId="2" fillId="5" borderId="13" xfId="0" applyNumberFormat="1" applyFont="1" applyFill="1" applyBorder="1" applyAlignment="1">
      <x:alignment wrapText="1"/>
    </x:xf>
    <x:xf numFmtId="0" fontId="4" fillId="3" borderId="14" xfId="0" applyNumberFormat="1" applyFont="1" applyFill="1" applyBorder="1" applyAlignment="1">
      <x:alignment wrapText="1"/>
    </x:xf>
    <x:xf numFmtId="0" fontId="2" fillId="5" borderId="15" xfId="0" applyNumberFormat="1" applyFont="1" applyFill="1" applyBorder="1" applyAlignment="1">
      <x:alignment wrapText="1"/>
    </x:xf>
    <x:xf numFmtId="0" fontId="2" fillId="5" borderId="16" xfId="0" applyNumberFormat="1" applyFont="1" applyFill="1" applyBorder="1" applyAlignment="1">
      <x:alignment wrapText="1"/>
    </x:xf>
    <x:xf numFmtId="0" fontId="4" fillId="3" borderId="17" xfId="0" applyNumberFormat="1" applyFont="1" applyFill="1" applyBorder="1" applyAlignment="1">
      <x:alignment wrapText="1"/>
    </x:xf>
    <x:xf numFmtId="0" fontId="2" fillId="5" borderId="18" xfId="0" applyNumberFormat="1" applyFont="1" applyFill="1" applyBorder="1" applyAlignment="1">
      <x:alignment wrapText="1"/>
    </x:xf>
    <x:xf numFmtId="0" fontId="2" fillId="5" borderId="19" xfId="0" applyNumberFormat="1" applyFont="1" applyFill="1" applyBorder="1" applyAlignment="1">
      <x:alignment wrapText="1"/>
    </x:xf>
    <x:xf numFmtId="0" fontId="4" fillId="3" borderId="20" xfId="0" applyNumberFormat="1" applyFont="1" applyFill="1" applyBorder="1" applyAlignment="1">
      <x:alignment wrapText="1"/>
    </x:xf>
    <x:xf numFmtId="0" fontId="2" fillId="5" borderId="21" xfId="0" applyNumberFormat="1" applyFont="1" applyFill="1" applyBorder="1" applyAlignment="1">
      <x:alignment wrapText="1"/>
    </x:xf>
    <x:xf numFmtId="0" fontId="2" fillId="5" borderId="22" xfId="0" applyNumberFormat="1" applyFont="1" applyFill="1" applyBorder="1" applyAlignment="1">
      <x:alignment wrapText="1"/>
    </x:xf>
    <x:xf numFmtId="0" fontId="4" fillId="3" borderId="23" xfId="0" applyNumberFormat="1" applyFont="1" applyFill="1" applyBorder="1" applyAlignment="1">
      <x:alignment wrapText="1"/>
    </x:xf>
    <x:xf numFmtId="0" fontId="2" fillId="5" borderId="24" xfId="0" applyNumberFormat="1" applyFont="1" applyFill="1" applyBorder="1" applyAlignment="1">
      <x:alignment wrapText="1"/>
    </x:xf>
    <x:xf numFmtId="0" fontId="2" fillId="5" borderId="25" xfId="0" applyNumberFormat="1" applyFont="1" applyFill="1" applyBorder="1" applyAlignment="1">
      <x:alignment wrapText="1"/>
    </x:xf>
    <x:xf numFmtId="0" fontId="4" fillId="3" borderId="26" xfId="0" applyNumberFormat="1" applyFont="1" applyFill="1" applyBorder="1" applyAlignment="1">
      <x:alignment wrapText="1"/>
    </x:xf>
    <x:xf numFmtId="0" fontId="2" fillId="5" borderId="27" xfId="0" applyNumberFormat="1" applyFont="1" applyFill="1" applyBorder="1" applyAlignment="1">
      <x:alignment wrapText="1"/>
    </x:xf>
    <x:xf numFmtId="0" fontId="2" fillId="5" borderId="28" xfId="0" applyNumberFormat="1" applyFont="1" applyFill="1" applyBorder="1" applyAlignment="1">
      <x:alignment wrapText="1"/>
    </x:xf>
    <x:xf numFmtId="0" fontId="4" fillId="3" borderId="29" xfId="0" applyNumberFormat="1" applyFont="1" applyFill="1" applyBorder="1" applyAlignment="1">
      <x:alignment wrapText="1"/>
    </x:xf>
    <x:xf numFmtId="0" fontId="2" fillId="5" borderId="30" xfId="0" applyNumberFormat="1" applyFont="1" applyFill="1" applyBorder="1" applyAlignment="1">
      <x:alignment wrapText="1"/>
    </x:xf>
    <x:xf numFmtId="0" fontId="2" fillId="5" borderId="31" xfId="0" applyNumberFormat="1" applyFont="1" applyFill="1" applyBorder="1" applyAlignment="1">
      <x:alignment wrapText="1"/>
    </x:xf>
    <x:xf numFmtId="0" fontId="4" fillId="3" borderId="32" xfId="0" applyNumberFormat="1" applyFont="1" applyFill="1" applyBorder="1" applyAlignment="1">
      <x:alignment wrapText="1"/>
    </x:xf>
    <x:xf numFmtId="0" fontId="2" fillId="5" borderId="34" xfId="0" applyNumberFormat="1" applyFont="1" applyFill="1" applyBorder="1" applyAlignment="1">
      <x:alignment wrapText="1"/>
    </x:xf>
    <x:xf numFmtId="0" fontId="4" fillId="3" borderId="35" xfId="0" applyNumberFormat="1" applyFont="1" applyFill="1" applyBorder="1" applyAlignment="1">
      <x:alignment wrapText="1"/>
    </x:xf>
    <x:xf numFmtId="0" fontId="2" fillId="5" borderId="37" xfId="0" applyNumberFormat="1" applyFont="1" applyFill="1" applyBorder="1" applyAlignment="1">
      <x:alignment wrapText="1"/>
    </x:xf>
    <x:xf numFmtId="0" fontId="4" fillId="3" borderId="38" xfId="0" applyNumberFormat="1" applyFont="1" applyFill="1" applyBorder="1" applyAlignment="1">
      <x:alignment wrapText="1"/>
    </x:xf>
    <x:xf numFmtId="0" fontId="2" fillId="5" borderId="40" xfId="0" applyNumberFormat="1" applyFont="1" applyFill="1" applyBorder="1" applyAlignment="1">
      <x:alignment wrapText="1"/>
    </x:xf>
    <x:xf numFmtId="0" fontId="4" fillId="3" borderId="41" xfId="0" applyNumberFormat="1" applyFont="1" applyFill="1" applyBorder="1" applyAlignment="1">
      <x:alignment wrapText="1"/>
    </x:xf>
    <x:xf numFmtId="0" fontId="2" fillId="5" borderId="43" xfId="0" applyNumberFormat="1" applyFont="1" applyFill="1" applyBorder="1" applyAlignment="1">
      <x:alignment wrapText="1"/>
    </x:xf>
    <x:xf numFmtId="0" fontId="4" fillId="3" borderId="44" xfId="0" applyNumberFormat="1" applyFont="1" applyFill="1" applyBorder="1" applyAlignment="1">
      <x:alignment wrapText="1"/>
    </x:xf>
    <x:xf numFmtId="0" fontId="2" fillId="5" borderId="45" xfId="0" applyNumberFormat="1" applyFont="1" applyFill="1" applyBorder="1" applyAlignment="1">
      <x:alignment wrapText="1"/>
    </x:xf>
    <x:xf numFmtId="0" fontId="2" fillId="5" borderId="46" xfId="0" applyNumberFormat="1" applyFont="1" applyFill="1" applyBorder="1" applyAlignment="1">
      <x:alignment wrapText="1"/>
    </x:xf>
    <x:xf numFmtId="0" fontId="4" fillId="3" borderId="47" xfId="0" applyNumberFormat="1" applyFont="1" applyFill="1" applyBorder="1" applyAlignment="1">
      <x:alignment wrapText="1"/>
    </x:xf>
    <x:xf numFmtId="0" fontId="2" fillId="5" borderId="48" xfId="0" applyNumberFormat="1" applyFont="1" applyFill="1" applyBorder="1" applyAlignment="1">
      <x:alignment wrapText="1"/>
    </x:xf>
    <x:xf numFmtId="0" fontId="2" fillId="5" borderId="49" xfId="0" applyNumberFormat="1" applyFont="1" applyFill="1" applyBorder="1" applyAlignment="1">
      <x:alignment wrapText="1"/>
    </x:xf>
    <x:xf numFmtId="0" fontId="4" fillId="3" borderId="152" xfId="0" applyNumberFormat="1" applyFont="1" applyFill="1" applyBorder="1" applyAlignment="1">
      <x:alignment wrapText="1"/>
    </x:xf>
    <x:xf numFmtId="0" fontId="4" fillId="3" borderId="153" xfId="0" applyNumberFormat="1" applyFont="1" applyFill="1" applyBorder="1" applyAlignment="1">
      <x:alignment wrapText="1"/>
    </x:xf>
    <x:xf numFmtId="0" fontId="2" fillId="5" borderId="154" xfId="0" applyNumberFormat="1" applyFont="1" applyFill="1" applyBorder="1" applyAlignment="1">
      <x:alignment wrapText="1"/>
    </x:xf>
    <x:xf numFmtId="0" fontId="2" fillId="5" borderId="155" xfId="0" applyNumberFormat="1" applyFont="1" applyFill="1" applyBorder="1" applyAlignment="1">
      <x:alignment wrapText="1"/>
    </x:xf>
    <x:xf numFmtId="0" fontId="2" fillId="5" borderId="156" xfId="0" applyNumberFormat="1" applyFont="1" applyFill="1" applyBorder="1" applyAlignment="1">
      <x:alignment wrapText="1"/>
    </x:xf>
    <x:xf numFmtId="0" fontId="2" fillId="5" borderId="157" xfId="0" applyNumberFormat="1" applyFont="1" applyFill="1" applyBorder="1" applyAlignment="1">
      <x:alignment wrapText="1"/>
    </x:xf>
    <x:xf numFmtId="0" fontId="4" fillId="3" borderId="158" xfId="0" applyNumberFormat="1" applyFont="1" applyFill="1" applyBorder="1" applyAlignment="1">
      <x:alignment wrapText="1"/>
    </x:xf>
    <x:xf numFmtId="0" fontId="4" fillId="3" borderId="159" xfId="0" applyNumberFormat="1" applyFont="1" applyFill="1" applyBorder="1" applyAlignment="1">
      <x:alignment wrapText="1"/>
    </x:xf>
    <x:xf numFmtId="0" fontId="2" fillId="5" borderId="160" xfId="0" applyNumberFormat="1" applyFont="1" applyFill="1" applyBorder="1" applyAlignment="1">
      <x:alignment wrapText="1"/>
    </x:xf>
    <x:xf numFmtId="0" fontId="2" fillId="5" borderId="161" xfId="0" applyNumberFormat="1" applyFont="1" applyFill="1" applyBorder="1" applyAlignment="1">
      <x:alignment wrapText="1"/>
    </x:xf>
    <x:xf numFmtId="0" fontId="2" fillId="5" borderId="162" xfId="0" applyNumberFormat="1" applyFont="1" applyFill="1" applyBorder="1" applyAlignment="1">
      <x:alignment wrapText="1"/>
    </x:xf>
    <x:xf numFmtId="0" fontId="2" fillId="5" borderId="163" xfId="0" applyNumberFormat="1" applyFont="1" applyFill="1" applyBorder="1" applyAlignment="1">
      <x:alignment wrapText="1"/>
    </x:xf>
    <x:xf numFmtId="0" fontId="4" fillId="3" borderId="164" xfId="0" applyNumberFormat="1" applyFont="1" applyFill="1" applyBorder="1" applyAlignment="1">
      <x:alignment wrapText="1"/>
    </x:xf>
    <x:xf numFmtId="0" fontId="4" fillId="3" borderId="165" xfId="0" applyNumberFormat="1" applyFont="1" applyFill="1" applyBorder="1" applyAlignment="1">
      <x:alignment wrapText="1"/>
    </x:xf>
    <x:xf numFmtId="0" fontId="2" fillId="5" borderId="166" xfId="0" applyNumberFormat="1" applyFont="1" applyFill="1" applyBorder="1" applyAlignment="1">
      <x:alignment wrapText="1"/>
    </x:xf>
    <x:xf numFmtId="0" fontId="2" fillId="5" borderId="167" xfId="0" applyNumberFormat="1" applyFont="1" applyFill="1" applyBorder="1" applyAlignment="1">
      <x:alignment wrapText="1"/>
    </x:xf>
    <x:xf numFmtId="0" fontId="2" fillId="5" borderId="168" xfId="0" applyNumberFormat="1" applyFont="1" applyFill="1" applyBorder="1" applyAlignment="1">
      <x:alignment wrapText="1"/>
    </x:xf>
    <x:xf numFmtId="0" fontId="2" fillId="5" borderId="169" xfId="0" applyNumberFormat="1" applyFont="1" applyFill="1" applyBorder="1" applyAlignment="1">
      <x:alignment wrapText="1"/>
    </x:xf>
    <x:xf numFmtId="0" fontId="4" fillId="3" borderId="170" xfId="0" applyNumberFormat="1" applyFont="1" applyFill="1" applyBorder="1" applyAlignment="1">
      <x:alignment wrapText="1"/>
    </x:xf>
    <x:xf numFmtId="0" fontId="4" fillId="3" borderId="171" xfId="0" applyNumberFormat="1" applyFont="1" applyFill="1" applyBorder="1" applyAlignment="1">
      <x:alignment wrapText="1"/>
    </x:xf>
    <x:xf numFmtId="0" fontId="2" fillId="5" borderId="172" xfId="0" applyNumberFormat="1" applyFont="1" applyFill="1" applyBorder="1" applyAlignment="1">
      <x:alignment wrapText="1"/>
    </x:xf>
    <x:xf numFmtId="0" fontId="2" fillId="5" borderId="173" xfId="0" applyNumberFormat="1" applyFont="1" applyFill="1" applyBorder="1" applyAlignment="1">
      <x:alignment wrapText="1"/>
    </x:xf>
    <x:xf numFmtId="0" fontId="2" fillId="5" borderId="174" xfId="0" applyNumberFormat="1" applyFont="1" applyFill="1" applyBorder="1" applyAlignment="1">
      <x:alignment wrapText="1"/>
    </x:xf>
    <x:xf numFmtId="0" fontId="2" fillId="5" borderId="175" xfId="0" applyNumberFormat="1" applyFont="1" applyFill="1" applyBorder="1" applyAlignment="1">
      <x:alignment wrapText="1"/>
    </x:xf>
    <x:xf numFmtId="0" fontId="4" fillId="3" borderId="60" xfId="0" applyNumberFormat="1" applyFont="1" applyFill="1" applyBorder="1" applyAlignment="1">
      <x:alignment wrapText="1"/>
    </x:xf>
    <x:xf numFmtId="0" fontId="4" fillId="3" borderId="66" xfId="0" applyNumberFormat="1" applyFont="1" applyFill="1" applyBorder="1" applyAlignment="1">
      <x:alignment wrapText="1"/>
    </x:xf>
    <x:xf numFmtId="0" fontId="2" fillId="5" borderId="60" xfId="0" applyNumberFormat="1" applyFont="1" applyFill="1" applyBorder="1" applyAlignment="1">
      <x:alignment wrapText="1"/>
    </x:xf>
    <x:xf numFmtId="0" fontId="2" fillId="5" borderId="66" xfId="0" applyNumberFormat="1" applyFont="1" applyFill="1" applyBorder="1" applyAlignment="1">
      <x:alignment wrapText="1"/>
    </x:xf>
    <x:xf numFmtId="0" fontId="4" fillId="3" borderId="61" xfId="0" applyNumberFormat="1" applyFont="1" applyFill="1" applyBorder="1" applyAlignment="1">
      <x:alignment wrapText="1"/>
    </x:xf>
    <x:xf numFmtId="0" fontId="4" fillId="3" borderId="67" xfId="0" applyNumberFormat="1" applyFont="1" applyFill="1" applyBorder="1" applyAlignment="1">
      <x:alignment wrapText="1"/>
    </x:xf>
    <x:xf numFmtId="0" fontId="2" fillId="5" borderId="61" xfId="0" applyNumberFormat="1" applyFont="1" applyFill="1" applyBorder="1" applyAlignment="1">
      <x:alignment wrapText="1"/>
    </x:xf>
    <x:xf numFmtId="0" fontId="2" fillId="5" borderId="67" xfId="0" applyNumberFormat="1" applyFont="1" applyFill="1" applyBorder="1" applyAlignment="1">
      <x:alignment wrapText="1"/>
    </x:xf>
    <x:xf numFmtId="0" fontId="4" fillId="3" borderId="176" xfId="0" applyNumberFormat="1" applyFont="1" applyFill="1" applyBorder="1" applyAlignment="1">
      <x:alignment wrapText="1"/>
    </x:xf>
    <x:xf numFmtId="0" fontId="4" fillId="3" borderId="177" xfId="0" applyNumberFormat="1" applyFont="1" applyFill="1" applyBorder="1" applyAlignment="1">
      <x:alignment wrapText="1"/>
    </x:xf>
    <x:xf numFmtId="0" fontId="2" fillId="5" borderId="176" xfId="0" applyNumberFormat="1" applyFont="1" applyFill="1" applyBorder="1" applyAlignment="1">
      <x:alignment wrapText="1"/>
    </x:xf>
    <x:xf numFmtId="0" fontId="2" fillId="5" borderId="177" xfId="0" applyNumberFormat="1" applyFont="1" applyFill="1" applyBorder="1" applyAlignment="1">
      <x:alignment wrapText="1"/>
    </x:xf>
    <x:xf numFmtId="0" fontId="4" fillId="3" borderId="178" xfId="0" applyNumberFormat="1" applyFont="1" applyFill="1" applyBorder="1" applyAlignment="1">
      <x:alignment wrapText="1"/>
    </x:xf>
    <x:xf numFmtId="0" fontId="4" fillId="3" borderId="179" xfId="0" applyNumberFormat="1" applyFont="1" applyFill="1" applyBorder="1" applyAlignment="1">
      <x:alignment wrapText="1"/>
    </x:xf>
    <x:xf numFmtId="0" fontId="2" fillId="5" borderId="178" xfId="0" applyNumberFormat="1" applyFont="1" applyFill="1" applyBorder="1" applyAlignment="1">
      <x:alignment wrapText="1"/>
    </x:xf>
    <x:xf numFmtId="0" fontId="2" fillId="5" borderId="179" xfId="0" applyNumberFormat="1" applyFont="1" applyFill="1" applyBorder="1" applyAlignment="1">
      <x:alignment wrapText="1"/>
    </x:xf>
    <x:xf numFmtId="0" fontId="4" fillId="3" borderId="180" xfId="0" applyNumberFormat="1" applyFont="1" applyFill="1" applyBorder="1" applyAlignment="1">
      <x:alignment wrapText="1"/>
    </x:xf>
    <x:xf numFmtId="0" fontId="4" fillId="3" borderId="181" xfId="0" applyNumberFormat="1" applyFont="1" applyFill="1" applyBorder="1" applyAlignment="1">
      <x:alignment wrapText="1"/>
    </x:xf>
    <x:xf numFmtId="0" fontId="2" fillId="5" borderId="180" xfId="0" applyNumberFormat="1" applyFont="1" applyFill="1" applyBorder="1" applyAlignment="1">
      <x:alignment wrapText="1"/>
    </x:xf>
    <x:xf numFmtId="0" fontId="2" fillId="5" borderId="181" xfId="0" applyNumberFormat="1" applyFont="1" applyFill="1" applyBorder="1" applyAlignment="1">
      <x:alignment wrapText="1"/>
    </x:xf>
    <x:xf numFmtId="0" fontId="4" fillId="3" borderId="182" xfId="0" applyNumberFormat="1" applyFont="1" applyFill="1" applyBorder="1" applyAlignment="1">
      <x:alignment wrapText="1"/>
    </x:xf>
    <x:xf numFmtId="0" fontId="4" fillId="3" borderId="183" xfId="0" applyNumberFormat="1" applyFont="1" applyFill="1" applyBorder="1" applyAlignment="1">
      <x:alignment wrapText="1"/>
    </x:xf>
    <x:xf numFmtId="0" fontId="2" fillId="5" borderId="182" xfId="0" applyNumberFormat="1" applyFont="1" applyFill="1" applyBorder="1" applyAlignment="1">
      <x:alignment wrapText="1"/>
    </x:xf>
    <x:xf numFmtId="0" fontId="2" fillId="5" borderId="183" xfId="0" applyNumberFormat="1" applyFont="1" applyFill="1" applyBorder="1" applyAlignment="1">
      <x:alignment wrapText="1"/>
    </x:xf>
    <x:xf numFmtId="0" fontId="4" fillId="3" borderId="184" xfId="0" applyNumberFormat="1" applyFont="1" applyFill="1" applyBorder="1" applyAlignment="1">
      <x:alignment wrapText="1"/>
    </x:xf>
    <x:xf numFmtId="0" fontId="2" fillId="5" borderId="184" xfId="0" applyNumberFormat="1" applyFont="1" applyFill="1" applyBorder="1" applyAlignment="1">
      <x:alignment wrapText="1"/>
    </x:xf>
    <x:xf numFmtId="0" fontId="4" fillId="3" borderId="185" xfId="0" applyNumberFormat="1" applyFont="1" applyFill="1" applyBorder="1" applyAlignment="1">
      <x:alignment wrapText="1"/>
    </x:xf>
    <x:xf numFmtId="0" fontId="2" fillId="5" borderId="185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right" wrapText="1"/>
    </x:xf>
    <x:xf numFmtId="0" fontId="2" fillId="5" borderId="1" xfId="0" applyNumberFormat="1" applyFont="1" applyFill="1" applyBorder="1" applyAlignment="1">
      <x:alignment horizontal="right" wrapText="1"/>
    </x:xf>
    <x:xf numFmtId="0" fontId="2" fillId="5" borderId="8" xfId="0" applyNumberFormat="1" applyFont="1" applyFill="1" applyBorder="1" applyAlignment="1">
      <x:alignment horizontal="right" wrapText="1"/>
    </x:xf>
    <x:xf numFmtId="0" fontId="2" fillId="5" borderId="9" xfId="0" applyNumberFormat="1" applyFont="1" applyFill="1" applyBorder="1" applyAlignment="1">
      <x:alignment horizontal="right" wrapText="1"/>
    </x:xf>
    <x:xf numFmtId="0" fontId="2" fillId="5" borderId="10" xfId="0" applyNumberFormat="1" applyFont="1" applyFill="1" applyBorder="1" applyAlignment="1">
      <x:alignment horizontal="right" wrapText="1"/>
    </x:xf>
    <x:xf numFmtId="0" fontId="2" fillId="5" borderId="11" xfId="0" applyNumberFormat="1" applyFont="1" applyFill="1" applyBorder="1" applyAlignment="1">
      <x:alignment horizontal="right" wrapText="1"/>
    </x:xf>
    <x:xf numFmtId="0" fontId="2" fillId="5" borderId="12" xfId="0" applyNumberFormat="1" applyFont="1" applyFill="1" applyBorder="1" applyAlignment="1">
      <x:alignment horizontal="right" wrapText="1"/>
    </x:xf>
    <x:xf numFmtId="0" fontId="2" fillId="5" borderId="13" xfId="0" applyNumberFormat="1" applyFont="1" applyFill="1" applyBorder="1" applyAlignment="1">
      <x:alignment horizontal="right" wrapText="1"/>
    </x:xf>
    <x:xf numFmtId="0" fontId="4" fillId="3" borderId="50" xfId="0" applyNumberFormat="1" applyFont="1" applyFill="1" applyBorder="1" applyAlignment="1">
      <x:alignment wrapText="1"/>
    </x:xf>
    <x:xf numFmtId="0" fontId="2" fillId="5" borderId="186" xfId="0" applyNumberFormat="1" applyFont="1" applyFill="1" applyBorder="1" applyAlignment="1">
      <x:alignment wrapText="1"/>
    </x:xf>
    <x:xf numFmtId="0" fontId="2" fillId="5" borderId="186" xfId="0" applyNumberFormat="1" applyFont="1" applyFill="1" applyBorder="1" applyAlignment="1">
      <x:alignment horizontal="right" wrapText="1"/>
    </x:xf>
    <x:xf numFmtId="0" fontId="2" fillId="5" borderId="187" xfId="0" applyNumberFormat="1" applyFont="1" applyFill="1" applyBorder="1" applyAlignment="1">
      <x:alignment wrapText="1"/>
    </x:xf>
    <x:xf numFmtId="0" fontId="2" fillId="5" borderId="187" xfId="0" applyNumberFormat="1" applyFont="1" applyFill="1" applyBorder="1" applyAlignment="1">
      <x:alignment horizontal="right" wrapText="1"/>
    </x:xf>
    <x:xf numFmtId="0" fontId="4" fillId="3" borderId="51" xfId="0" applyNumberFormat="1" applyFont="1" applyFill="1" applyBorder="1" applyAlignment="1">
      <x:alignment wrapText="1"/>
    </x:xf>
    <x:xf numFmtId="0" fontId="2" fillId="5" borderId="188" xfId="0" applyNumberFormat="1" applyFont="1" applyFill="1" applyBorder="1" applyAlignment="1">
      <x:alignment wrapText="1"/>
    </x:xf>
    <x:xf numFmtId="0" fontId="2" fillId="5" borderId="188" xfId="0" applyNumberFormat="1" applyFont="1" applyFill="1" applyBorder="1" applyAlignment="1">
      <x:alignment horizontal="right" wrapText="1"/>
    </x:xf>
    <x:xf numFmtId="0" fontId="2" fillId="5" borderId="189" xfId="0" applyNumberFormat="1" applyFont="1" applyFill="1" applyBorder="1" applyAlignment="1">
      <x:alignment wrapText="1"/>
    </x:xf>
    <x:xf numFmtId="0" fontId="2" fillId="5" borderId="189" xfId="0" applyNumberFormat="1" applyFont="1" applyFill="1" applyBorder="1" applyAlignment="1">
      <x:alignment horizontal="right" wrapText="1"/>
    </x:xf>
    <x:xf numFmtId="0" fontId="4" fillId="3" borderId="52" xfId="0" applyNumberFormat="1" applyFont="1" applyFill="1" applyBorder="1" applyAlignment="1">
      <x:alignment wrapText="1"/>
    </x:xf>
    <x:xf numFmtId="0" fontId="2" fillId="5" borderId="190" xfId="0" applyNumberFormat="1" applyFont="1" applyFill="1" applyBorder="1" applyAlignment="1">
      <x:alignment wrapText="1"/>
    </x:xf>
    <x:xf numFmtId="0" fontId="2" fillId="5" borderId="190" xfId="0" applyNumberFormat="1" applyFont="1" applyFill="1" applyBorder="1" applyAlignment="1">
      <x:alignment horizontal="right" wrapText="1"/>
    </x:xf>
    <x:xf numFmtId="0" fontId="2" fillId="5" borderId="191" xfId="0" applyNumberFormat="1" applyFont="1" applyFill="1" applyBorder="1" applyAlignment="1">
      <x:alignment wrapText="1"/>
    </x:xf>
    <x:xf numFmtId="0" fontId="2" fillId="5" borderId="191" xfId="0" applyNumberFormat="1" applyFont="1" applyFill="1" applyBorder="1" applyAlignment="1">
      <x:alignment horizontal="right" wrapText="1"/>
    </x:xf>
    <x:xf numFmtId="0" fontId="4" fillId="3" borderId="53" xfId="0" applyNumberFormat="1" applyFont="1" applyFill="1" applyBorder="1" applyAlignment="1">
      <x:alignment wrapText="1"/>
    </x:xf>
    <x:xf numFmtId="0" fontId="2" fillId="5" borderId="192" xfId="0" applyNumberFormat="1" applyFont="1" applyFill="1" applyBorder="1" applyAlignment="1">
      <x:alignment wrapText="1"/>
    </x:xf>
    <x:xf numFmtId="0" fontId="2" fillId="5" borderId="192" xfId="0" applyNumberFormat="1" applyFont="1" applyFill="1" applyBorder="1" applyAlignment="1">
      <x:alignment horizontal="right" wrapText="1"/>
    </x:xf>
    <x:xf numFmtId="0" fontId="2" fillId="5" borderId="193" xfId="0" applyNumberFormat="1" applyFont="1" applyFill="1" applyBorder="1" applyAlignment="1">
      <x:alignment wrapText="1"/>
    </x:xf>
    <x:xf numFmtId="0" fontId="2" fillId="5" borderId="193" xfId="0" applyNumberFormat="1" applyFont="1" applyFill="1" applyBorder="1" applyAlignment="1">
      <x:alignment horizontal="right" wrapText="1"/>
    </x:xf>
    <x:xf numFmtId="0" fontId="4" fillId="3" borderId="54" xfId="0" applyNumberFormat="1" applyFont="1" applyFill="1" applyBorder="1" applyAlignment="1">
      <x:alignment wrapText="1"/>
    </x:xf>
    <x:xf numFmtId="0" fontId="2" fillId="5" borderId="54" xfId="0" applyNumberFormat="1" applyFont="1" applyFill="1" applyBorder="1" applyAlignment="1">
      <x:alignment wrapText="1"/>
    </x:xf>
    <x:xf numFmtId="0" fontId="2" fillId="5" borderId="54" xfId="0" applyNumberFormat="1" applyFont="1" applyFill="1" applyBorder="1" applyAlignment="1">
      <x:alignment horizontal="right" wrapText="1"/>
    </x:xf>
    <x:xf numFmtId="0" fontId="4" fillId="3" borderId="55" xfId="0" applyNumberFormat="1" applyFont="1" applyFill="1" applyBorder="1" applyAlignment="1">
      <x:alignment wrapText="1"/>
    </x:xf>
    <x:xf numFmtId="0" fontId="2" fillId="5" borderId="55" xfId="0" applyNumberFormat="1" applyFont="1" applyFill="1" applyBorder="1" applyAlignment="1">
      <x:alignment wrapText="1"/>
    </x:xf>
    <x:xf numFmtId="0" fontId="2" fillId="5" borderId="55" xfId="0" applyNumberFormat="1" applyFont="1" applyFill="1" applyBorder="1" applyAlignment="1">
      <x:alignment horizontal="right" wrapText="1"/>
    </x:xf>
    <x:xf numFmtId="0" fontId="4" fillId="3" borderId="194" xfId="0" applyNumberFormat="1" applyFont="1" applyFill="1" applyBorder="1" applyAlignment="1">
      <x:alignment wrapText="1"/>
    </x:xf>
    <x:xf numFmtId="0" fontId="2" fillId="5" borderId="194" xfId="0" applyNumberFormat="1" applyFont="1" applyFill="1" applyBorder="1" applyAlignment="1">
      <x:alignment wrapText="1"/>
    </x:xf>
    <x:xf numFmtId="0" fontId="2" fillId="5" borderId="194" xfId="0" applyNumberFormat="1" applyFont="1" applyFill="1" applyBorder="1" applyAlignment="1">
      <x:alignment horizontal="right" wrapText="1"/>
    </x:xf>
    <x:xf numFmtId="0" fontId="4" fillId="3" borderId="195" xfId="0" applyNumberFormat="1" applyFont="1" applyFill="1" applyBorder="1" applyAlignment="1">
      <x:alignment wrapText="1"/>
    </x:xf>
    <x:xf numFmtId="0" fontId="2" fillId="5" borderId="195" xfId="0" applyNumberFormat="1" applyFont="1" applyFill="1" applyBorder="1" applyAlignment="1">
      <x:alignment wrapText="1"/>
    </x:xf>
    <x:xf numFmtId="0" fontId="2" fillId="5" borderId="195" xfId="0" applyNumberFormat="1" applyFont="1" applyFill="1" applyBorder="1" applyAlignment="1">
      <x:alignment horizontal="right" wrapText="1"/>
    </x:xf>
    <x:xf numFmtId="0" fontId="4" fillId="3" borderId="196" xfId="0" applyNumberFormat="1" applyFont="1" applyFill="1" applyBorder="1" applyAlignment="1">
      <x:alignment wrapText="1"/>
    </x:xf>
    <x:xf numFmtId="0" fontId="2" fillId="5" borderId="196" xfId="0" applyNumberFormat="1" applyFont="1" applyFill="1" applyBorder="1" applyAlignment="1">
      <x:alignment wrapText="1"/>
    </x:xf>
    <x:xf numFmtId="0" fontId="2" fillId="5" borderId="196" xfId="0" applyNumberFormat="1" applyFont="1" applyFill="1" applyBorder="1" applyAlignment="1">
      <x:alignment horizontal="right" wrapText="1"/>
    </x:xf>
    <x:xf numFmtId="0" fontId="4" fillId="3" borderId="197" xfId="0" applyNumberFormat="1" applyFont="1" applyFill="1" applyBorder="1" applyAlignment="1">
      <x:alignment wrapText="1"/>
    </x:xf>
    <x:xf numFmtId="0" fontId="2" fillId="5" borderId="197" xfId="0" applyNumberFormat="1" applyFont="1" applyFill="1" applyBorder="1" applyAlignment="1">
      <x:alignment wrapText="1"/>
    </x:xf>
    <x:xf numFmtId="0" fontId="2" fillId="5" borderId="197" xfId="0" applyNumberFormat="1" applyFont="1" applyFill="1" applyBorder="1" applyAlignment="1">
      <x:alignment horizontal="right" wrapText="1"/>
    </x:xf>
    <x:xf numFmtId="0" fontId="2" fillId="5" borderId="184" xfId="0" applyNumberFormat="1" applyFont="1" applyFill="1" applyBorder="1" applyAlignment="1">
      <x:alignment horizontal="right" wrapText="1"/>
    </x:xf>
    <x:xf numFmtId="0" fontId="2" fillId="5" borderId="185" xfId="0" applyNumberFormat="1" applyFont="1" applyFill="1" applyBorder="1" applyAlignment="1">
      <x:alignment horizontal="right" wrapText="1"/>
    </x:xf>
    <x:xf numFmtId="0" fontId="2" fillId="6" borderId="184" xfId="0" applyNumberFormat="1" applyFont="1" applyFill="1" applyBorder="1" applyAlignment="1">
      <x:alignment wrapText="1"/>
    </x:xf>
    <x:xf numFmtId="0" fontId="2" fillId="6" borderId="185" xfId="0" applyNumberFormat="1" applyFont="1" applyFill="1" applyBorder="1" applyAlignment="1">
      <x:alignment wrapText="1"/>
    </x:xf>
    <x:xf numFmtId="0" fontId="2" fillId="6" borderId="184" xfId="0" applyNumberFormat="1" applyFont="1" applyFill="1" applyBorder="1" applyAlignment="1">
      <x:alignment horizontal="right" wrapText="1"/>
    </x:xf>
    <x:xf numFmtId="0" fontId="2" fillId="6" borderId="185" xfId="0" applyNumberFormat="1" applyFont="1" applyFill="1" applyBorder="1" applyAlignment="1">
      <x:alignment horizontal="right" wrapText="1"/>
    </x:xf>
    <x:xf numFmtId="200" fontId="2" fillId="6" borderId="184" xfId="0" applyNumberFormat="1" applyFont="1" applyFill="1" applyBorder="1" applyAlignment="1">
      <x:alignment horizontal="right" wrapText="1"/>
    </x:xf>
    <x:xf numFmtId="200" fontId="2" fillId="6" borderId="185" xfId="0" applyNumberFormat="1" applyFont="1" applyFill="1" applyBorder="1" applyAlignment="1">
      <x:alignment horizontal="right" wrapText="1"/>
    </x:xf>
    <x:xf numFmtId="201" fontId="2" fillId="6" borderId="184" xfId="0" applyNumberFormat="1" applyFont="1" applyFill="1" applyBorder="1" applyAlignment="1">
      <x:alignment wrapText="1"/>
    </x:xf>
    <x:xf numFmtId="201" fontId="2" fillId="6" borderId="185" xfId="0" applyNumberFormat="1" applyFont="1" applyFill="1" applyBorder="1" applyAlignment="1">
      <x:alignment wrapText="1"/>
    </x:xf>
    <x:xf numFmtId="202" fontId="2" fillId="2" borderId="0" xfId="0" applyNumberFormat="1" applyFont="1" applyFill="1" applyBorder="1"/>
    <x:xf numFmtId="202" fontId="2" fillId="2" borderId="1" xfId="0" applyNumberFormat="1" applyFont="1" applyFill="1" applyBorder="1"/>
    <x:xf numFmtId="200" fontId="2" fillId="2" borderId="0" xfId="0" applyNumberFormat="1" applyFont="1" applyFill="1" applyBorder="1"/>
    <x:xf numFmtId="200" fontId="2" fillId="2" borderId="1" xfId="0" applyNumberFormat="1" applyFont="1" applyFill="1" applyBorder="1"/>
    <x:xf numFmtId="202" fontId="2" fillId="5" borderId="0" xfId="0" applyNumberFormat="1" applyFont="1" applyFill="1" applyBorder="1"/>
    <x:xf numFmtId="200" fontId="2" fillId="5" borderId="0" xfId="0" applyNumberFormat="1" applyFont="1" applyFill="1" applyBorder="1"/>
    <x:xf numFmtId="202" fontId="2" fillId="5" borderId="1" xfId="0" applyNumberFormat="1" applyFont="1" applyFill="1" applyBorder="1"/>
    <x:xf numFmtId="200" fontId="2" fillId="5" borderId="1" xfId="0" applyNumberFormat="1" applyFont="1" applyFill="1" applyBorder="1"/>
    <x:xf numFmtId="202" fontId="2" fillId="7" borderId="0" xfId="0" applyNumberFormat="1" applyFont="1" applyFill="1" applyBorder="1"/>
    <x:xf numFmtId="200" fontId="2" fillId="7" borderId="0" xfId="0" applyNumberFormat="1" applyFont="1" applyFill="1" applyBorder="1"/>
    <x:xf numFmtId="202" fontId="2" fillId="7" borderId="1" xfId="0" applyNumberFormat="1" applyFont="1" applyFill="1" applyBorder="1"/>
    <x:xf numFmtId="200" fontId="2" fillId="7" borderId="1" xfId="0" applyNumberFormat="1" applyFont="1" applyFill="1" applyBorder="1"/>
    <x:xf numFmtId="202" fontId="7" fillId="7" borderId="0" xfId="0" applyNumberFormat="1" applyFont="1" applyFill="1" applyBorder="1"/>
    <x:xf numFmtId="200" fontId="7" fillId="7" borderId="0" xfId="0" applyNumberFormat="1" applyFont="1" applyFill="1" applyBorder="1"/>
    <x:xf numFmtId="202" fontId="7" fillId="7" borderId="1" xfId="0" applyNumberFormat="1" applyFont="1" applyFill="1" applyBorder="1"/>
    <x:xf numFmtId="200" fontId="7" fillId="7" borderId="1" xfId="0" applyNumberFormat="1" applyFont="1" applyFill="1" applyBorder="1"/>
    <x:xf numFmtId="202" fontId="10" fillId="7" borderId="0" xfId="0" applyNumberFormat="1" applyFont="1" applyFill="1" applyBorder="1"/>
    <x:xf numFmtId="200" fontId="10" fillId="7" borderId="0" xfId="0" applyNumberFormat="1" applyFont="1" applyFill="1" applyBorder="1"/>
    <x:xf numFmtId="202" fontId="10" fillId="7" borderId="1" xfId="0" applyNumberFormat="1" applyFont="1" applyFill="1" applyBorder="1"/>
    <x:xf numFmtId="200" fontId="10" fillId="7" borderId="1" xfId="0" applyNumberFormat="1" applyFont="1" applyFill="1" applyBorder="1"/>
    <x:xf numFmtId="202" fontId="10" fillId="7" borderId="0" xfId="0" applyNumberFormat="1" applyFont="1" applyFill="1" applyBorder="1" applyAlignment="1">
      <x:alignment horizontal="right"/>
    </x:xf>
    <x:xf numFmtId="200" fontId="10" fillId="7" borderId="0" xfId="0" applyNumberFormat="1" applyFont="1" applyFill="1" applyBorder="1" applyAlignment="1">
      <x:alignment horizontal="right"/>
    </x:xf>
    <x:xf numFmtId="202" fontId="10" fillId="7" borderId="1" xfId="0" applyNumberFormat="1" applyFont="1" applyFill="1" applyBorder="1" applyAlignment="1">
      <x:alignment horizontal="right"/>
    </x:xf>
    <x:xf numFmtId="200" fontId="10" fillId="7" borderId="1" xfId="0" applyNumberFormat="1" applyFont="1" applyFill="1" applyBorder="1" applyAlignment="1">
      <x:alignment horizontal="right"/>
    </x:xf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6" fillId="5" borderId="8" xfId="0" applyNumberFormat="1" applyFont="1" applyFill="1" applyBorder="1"/>
    <x:xf numFmtId="202" fontId="10" fillId="7" borderId="8" xfId="0" applyNumberFormat="1" applyFont="1" applyFill="1" applyBorder="1" applyAlignment="1">
      <x:alignment horizontal="right"/>
    </x:xf>
    <x:xf numFmtId="0" fontId="6" fillId="5" borderId="9" xfId="0" applyNumberFormat="1" applyFont="1" applyFill="1" applyBorder="1"/>
    <x:xf numFmtId="202" fontId="10" fillId="7" borderId="9" xfId="0" applyNumberFormat="1" applyFont="1" applyFill="1" applyBorder="1" applyAlignment="1">
      <x:alignment horizontal="right"/>
    </x:xf>
    <x:xf numFmtId="0" fontId="6" fillId="5" borderId="10" xfId="0" applyNumberFormat="1" applyFont="1" applyFill="1" applyBorder="1"/>
    <x:xf numFmtId="202" fontId="10" fillId="7" borderId="10" xfId="0" applyNumberFormat="1" applyFont="1" applyFill="1" applyBorder="1" applyAlignment="1">
      <x:alignment horizontal="right"/>
    </x:xf>
    <x:xf numFmtId="0" fontId="6" fillId="5" borderId="11" xfId="0" applyNumberFormat="1" applyFont="1" applyFill="1" applyBorder="1"/>
    <x:xf numFmtId="202" fontId="10" fillId="7" borderId="11" xfId="0" applyNumberFormat="1" applyFont="1" applyFill="1" applyBorder="1" applyAlignment="1">
      <x:alignment horizontal="right"/>
    </x:xf>
    <x:xf numFmtId="0" fontId="6" fillId="5" borderId="12" xfId="0" applyNumberFormat="1" applyFont="1" applyFill="1" applyBorder="1"/>
    <x:xf numFmtId="202" fontId="10" fillId="7" borderId="12" xfId="0" applyNumberFormat="1" applyFont="1" applyFill="1" applyBorder="1" applyAlignment="1">
      <x:alignment horizontal="right"/>
    </x:xf>
    <x:xf numFmtId="0" fontId="6" fillId="5" borderId="13" xfId="0" applyNumberFormat="1" applyFont="1" applyFill="1" applyBorder="1"/>
    <x:xf numFmtId="202" fontId="10" fillId="7" borderId="13" xfId="0" applyNumberFormat="1" applyFont="1" applyFill="1" applyBorder="1" applyAlignment="1">
      <x:alignment horizontal="right"/>
    </x:xf>
    <x:xf numFmtId="0" fontId="4" fillId="3" borderId="14" xfId="0" applyNumberFormat="1" applyFont="1" applyFill="1" applyBorder="1"/>
    <x:xf numFmtId="0" fontId="6" fillId="5" borderId="15" xfId="0" applyNumberFormat="1" applyFont="1" applyFill="1" applyBorder="1"/>
    <x:xf numFmtId="0" fontId="6" fillId="5" borderId="16" xfId="0" applyNumberFormat="1" applyFont="1" applyFill="1" applyBorder="1"/>
    <x:xf numFmtId="0" fontId="4" fillId="3" borderId="17" xfId="0" applyNumberFormat="1" applyFont="1" applyFill="1" applyBorder="1"/>
    <x:xf numFmtId="0" fontId="6" fillId="5" borderId="18" xfId="0" applyNumberFormat="1" applyFont="1" applyFill="1" applyBorder="1"/>
    <x:xf numFmtId="0" fontId="6" fillId="5" borderId="19" xfId="0" applyNumberFormat="1" applyFont="1" applyFill="1" applyBorder="1"/>
    <x:xf numFmtId="0" fontId="4" fillId="3" borderId="20" xfId="0" applyNumberFormat="1" applyFont="1" applyFill="1" applyBorder="1"/>
    <x:xf numFmtId="0" fontId="6" fillId="5" borderId="21" xfId="0" applyNumberFormat="1" applyFont="1" applyFill="1" applyBorder="1"/>
    <x:xf numFmtId="0" fontId="6" fillId="5" borderId="22" xfId="0" applyNumberFormat="1" applyFont="1" applyFill="1" applyBorder="1"/>
    <x:xf numFmtId="0" fontId="4" fillId="3" borderId="23" xfId="0" applyNumberFormat="1" applyFont="1" applyFill="1" applyBorder="1"/>
    <x:xf numFmtId="0" fontId="6" fillId="5" borderId="24" xfId="0" applyNumberFormat="1" applyFont="1" applyFill="1" applyBorder="1"/>
    <x:xf numFmtId="0" fontId="6" fillId="5" borderId="25" xfId="0" applyNumberFormat="1" applyFont="1" applyFill="1" applyBorder="1"/>
    <x:xf numFmtId="0" fontId="4" fillId="3" borderId="26" xfId="0" applyNumberFormat="1" applyFont="1" applyFill="1" applyBorder="1"/>
    <x:xf numFmtId="0" fontId="6" fillId="5" borderId="27" xfId="0" applyNumberFormat="1" applyFont="1" applyFill="1" applyBorder="1"/>
    <x:xf numFmtId="0" fontId="6" fillId="5" borderId="28" xfId="0" applyNumberFormat="1" applyFont="1" applyFill="1" applyBorder="1"/>
    <x:xf numFmtId="0" fontId="4" fillId="3" borderId="29" xfId="0" applyNumberFormat="1" applyFont="1" applyFill="1" applyBorder="1"/>
    <x:xf numFmtId="0" fontId="6" fillId="5" borderId="30" xfId="0" applyNumberFormat="1" applyFont="1" applyFill="1" applyBorder="1"/>
    <x:xf numFmtId="0" fontId="6" fillId="5" borderId="31" xfId="0" applyNumberFormat="1" applyFont="1" applyFill="1" applyBorder="1"/>
    <x:xf numFmtId="0" fontId="4" fillId="3" borderId="32" xfId="0" applyNumberFormat="1" applyFont="1" applyFill="1" applyBorder="1"/>
    <x:xf numFmtId="202" fontId="10" fillId="7" borderId="33" xfId="0" applyNumberFormat="1" applyFont="1" applyFill="1" applyBorder="1" applyAlignment="1">
      <x:alignment horizontal="right"/>
    </x:xf>
    <x:xf numFmtId="200" fontId="10" fillId="7" borderId="33" xfId="0" applyNumberFormat="1" applyFont="1" applyFill="1" applyBorder="1" applyAlignment="1">
      <x:alignment horizontal="right"/>
    </x:xf>
    <x:xf numFmtId="202" fontId="10" fillId="7" borderId="34" xfId="0" applyNumberFormat="1" applyFont="1" applyFill="1" applyBorder="1" applyAlignment="1">
      <x:alignment horizontal="right"/>
    </x:xf>
    <x:xf numFmtId="0" fontId="4" fillId="3" borderId="35" xfId="0" applyNumberFormat="1" applyFont="1" applyFill="1" applyBorder="1"/>
    <x:xf numFmtId="202" fontId="10" fillId="7" borderId="36" xfId="0" applyNumberFormat="1" applyFont="1" applyFill="1" applyBorder="1" applyAlignment="1">
      <x:alignment horizontal="right"/>
    </x:xf>
    <x:xf numFmtId="200" fontId="10" fillId="7" borderId="36" xfId="0" applyNumberFormat="1" applyFont="1" applyFill="1" applyBorder="1" applyAlignment="1">
      <x:alignment horizontal="right"/>
    </x:xf>
    <x:xf numFmtId="202" fontId="10" fillId="7" borderId="37" xfId="0" applyNumberFormat="1" applyFont="1" applyFill="1" applyBorder="1" applyAlignment="1">
      <x:alignment horizontal="right"/>
    </x:xf>
    <x:xf numFmtId="0" fontId="4" fillId="3" borderId="38" xfId="0" applyNumberFormat="1" applyFont="1" applyFill="1" applyBorder="1"/>
    <x:xf numFmtId="202" fontId="10" fillId="7" borderId="39" xfId="0" applyNumberFormat="1" applyFont="1" applyFill="1" applyBorder="1" applyAlignment="1">
      <x:alignment horizontal="right"/>
    </x:xf>
    <x:xf numFmtId="200" fontId="10" fillId="7" borderId="39" xfId="0" applyNumberFormat="1" applyFont="1" applyFill="1" applyBorder="1" applyAlignment="1">
      <x:alignment horizontal="right"/>
    </x:xf>
    <x:xf numFmtId="202" fontId="10" fillId="7" borderId="40" xfId="0" applyNumberFormat="1" applyFont="1" applyFill="1" applyBorder="1" applyAlignment="1">
      <x:alignment horizontal="right"/>
    </x:xf>
    <x:xf numFmtId="0" fontId="4" fillId="3" borderId="41" xfId="0" applyNumberFormat="1" applyFont="1" applyFill="1" applyBorder="1"/>
    <x:xf numFmtId="202" fontId="10" fillId="7" borderId="42" xfId="0" applyNumberFormat="1" applyFont="1" applyFill="1" applyBorder="1" applyAlignment="1">
      <x:alignment horizontal="right"/>
    </x:xf>
    <x:xf numFmtId="200" fontId="10" fillId="7" borderId="42" xfId="0" applyNumberFormat="1" applyFont="1" applyFill="1" applyBorder="1" applyAlignment="1">
      <x:alignment horizontal="right"/>
    </x:xf>
    <x:xf numFmtId="202" fontId="10" fillId="7" borderId="43" xfId="0" applyNumberFormat="1" applyFont="1" applyFill="1" applyBorder="1" applyAlignment="1">
      <x:alignment horizontal="right"/>
    </x:xf>
    <x:xf numFmtId="0" fontId="4" fillId="3" borderId="44" xfId="0" applyNumberFormat="1" applyFont="1" applyFill="1" applyBorder="1"/>
    <x:xf numFmtId="202" fontId="10" fillId="7" borderId="45" xfId="0" applyNumberFormat="1" applyFont="1" applyFill="1" applyBorder="1" applyAlignment="1">
      <x:alignment horizontal="right"/>
    </x:xf>
    <x:xf numFmtId="200" fontId="10" fillId="7" borderId="45" xfId="0" applyNumberFormat="1" applyFont="1" applyFill="1" applyBorder="1" applyAlignment="1">
      <x:alignment horizontal="right"/>
    </x:xf>
    <x:xf numFmtId="202" fontId="10" fillId="7" borderId="46" xfId="0" applyNumberFormat="1" applyFont="1" applyFill="1" applyBorder="1" applyAlignment="1">
      <x:alignment horizontal="right"/>
    </x:xf>
    <x:xf numFmtId="0" fontId="4" fillId="3" borderId="47" xfId="0" applyNumberFormat="1" applyFont="1" applyFill="1" applyBorder="1"/>
    <x:xf numFmtId="202" fontId="10" fillId="7" borderId="48" xfId="0" applyNumberFormat="1" applyFont="1" applyFill="1" applyBorder="1" applyAlignment="1">
      <x:alignment horizontal="right"/>
    </x:xf>
    <x:xf numFmtId="200" fontId="10" fillId="7" borderId="48" xfId="0" applyNumberFormat="1" applyFont="1" applyFill="1" applyBorder="1" applyAlignment="1">
      <x:alignment horizontal="right"/>
    </x:xf>
    <x:xf numFmtId="202" fontId="10" fillId="7" borderId="49" xfId="0" applyNumberFormat="1" applyFont="1" applyFill="1" applyBorder="1" applyAlignment="1">
      <x:alignment horizontal="right"/>
    </x:xf>
    <x:xf numFmtId="0" fontId="4" fillId="3" borderId="152" xfId="0" applyNumberFormat="1" applyFont="1" applyFill="1" applyBorder="1"/>
    <x:xf numFmtId="0" fontId="4" fillId="3" borderId="153" xfId="0" applyNumberFormat="1" applyFont="1" applyFill="1" applyBorder="1"/>
    <x:xf numFmtId="0" fontId="6" fillId="5" borderId="154" xfId="0" applyNumberFormat="1" applyFont="1" applyFill="1" applyBorder="1"/>
    <x:xf numFmtId="202" fontId="10" fillId="7" borderId="155" xfId="0" applyNumberFormat="1" applyFont="1" applyFill="1" applyBorder="1" applyAlignment="1">
      <x:alignment horizontal="right"/>
    </x:xf>
    <x:xf numFmtId="200" fontId="10" fillId="7" borderId="155" xfId="0" applyNumberFormat="1" applyFont="1" applyFill="1" applyBorder="1" applyAlignment="1">
      <x:alignment horizontal="right"/>
    </x:xf>
    <x:xf numFmtId="0" fontId="6" fillId="5" borderId="156" xfId="0" applyNumberFormat="1" applyFont="1" applyFill="1" applyBorder="1"/>
    <x:xf numFmtId="202" fontId="10" fillId="7" borderId="157" xfId="0" applyNumberFormat="1" applyFont="1" applyFill="1" applyBorder="1" applyAlignment="1">
      <x:alignment horizontal="right"/>
    </x:xf>
    <x:xf numFmtId="0" fontId="4" fillId="3" borderId="158" xfId="0" applyNumberFormat="1" applyFont="1" applyFill="1" applyBorder="1"/>
    <x:xf numFmtId="0" fontId="4" fillId="3" borderId="159" xfId="0" applyNumberFormat="1" applyFont="1" applyFill="1" applyBorder="1"/>
    <x:xf numFmtId="0" fontId="6" fillId="5" borderId="160" xfId="0" applyNumberFormat="1" applyFont="1" applyFill="1" applyBorder="1"/>
    <x:xf numFmtId="202" fontId="10" fillId="7" borderId="161" xfId="0" applyNumberFormat="1" applyFont="1" applyFill="1" applyBorder="1" applyAlignment="1">
      <x:alignment horizontal="right"/>
    </x:xf>
    <x:xf numFmtId="200" fontId="10" fillId="7" borderId="161" xfId="0" applyNumberFormat="1" applyFont="1" applyFill="1" applyBorder="1" applyAlignment="1">
      <x:alignment horizontal="right"/>
    </x:xf>
    <x:xf numFmtId="0" fontId="6" fillId="5" borderId="162" xfId="0" applyNumberFormat="1" applyFont="1" applyFill="1" applyBorder="1"/>
    <x:xf numFmtId="202" fontId="10" fillId="7" borderId="163" xfId="0" applyNumberFormat="1" applyFont="1" applyFill="1" applyBorder="1" applyAlignment="1">
      <x:alignment horizontal="right"/>
    </x:xf>
    <x:xf numFmtId="0" fontId="4" fillId="3" borderId="164" xfId="0" applyNumberFormat="1" applyFont="1" applyFill="1" applyBorder="1"/>
    <x:xf numFmtId="0" fontId="4" fillId="3" borderId="165" xfId="0" applyNumberFormat="1" applyFont="1" applyFill="1" applyBorder="1"/>
    <x:xf numFmtId="0" fontId="6" fillId="5" borderId="166" xfId="0" applyNumberFormat="1" applyFont="1" applyFill="1" applyBorder="1"/>
    <x:xf numFmtId="202" fontId="10" fillId="7" borderId="167" xfId="0" applyNumberFormat="1" applyFont="1" applyFill="1" applyBorder="1" applyAlignment="1">
      <x:alignment horizontal="right"/>
    </x:xf>
    <x:xf numFmtId="200" fontId="10" fillId="7" borderId="167" xfId="0" applyNumberFormat="1" applyFont="1" applyFill="1" applyBorder="1" applyAlignment="1">
      <x:alignment horizontal="right"/>
    </x:xf>
    <x:xf numFmtId="0" fontId="6" fillId="5" borderId="168" xfId="0" applyNumberFormat="1" applyFont="1" applyFill="1" applyBorder="1"/>
    <x:xf numFmtId="202" fontId="10" fillId="7" borderId="169" xfId="0" applyNumberFormat="1" applyFont="1" applyFill="1" applyBorder="1" applyAlignment="1">
      <x:alignment horizontal="right"/>
    </x:xf>
    <x:xf numFmtId="0" fontId="4" fillId="3" borderId="170" xfId="0" applyNumberFormat="1" applyFont="1" applyFill="1" applyBorder="1"/>
    <x:xf numFmtId="0" fontId="4" fillId="3" borderId="171" xfId="0" applyNumberFormat="1" applyFont="1" applyFill="1" applyBorder="1"/>
    <x:xf numFmtId="0" fontId="6" fillId="5" borderId="172" xfId="0" applyNumberFormat="1" applyFont="1" applyFill="1" applyBorder="1"/>
    <x:xf numFmtId="202" fontId="10" fillId="7" borderId="173" xfId="0" applyNumberFormat="1" applyFont="1" applyFill="1" applyBorder="1" applyAlignment="1">
      <x:alignment horizontal="right"/>
    </x:xf>
    <x:xf numFmtId="200" fontId="10" fillId="7" borderId="173" xfId="0" applyNumberFormat="1" applyFont="1" applyFill="1" applyBorder="1" applyAlignment="1">
      <x:alignment horizontal="right"/>
    </x:xf>
    <x:xf numFmtId="0" fontId="6" fillId="5" borderId="174" xfId="0" applyNumberFormat="1" applyFont="1" applyFill="1" applyBorder="1"/>
    <x:xf numFmtId="202" fontId="10" fillId="7" borderId="175" xfId="0" applyNumberFormat="1" applyFont="1" applyFill="1" applyBorder="1" applyAlignment="1">
      <x:alignment horizontal="right"/>
    </x:xf>
    <x:xf numFmtId="0" fontId="4" fillId="3" borderId="60" xfId="0" applyNumberFormat="1" applyFont="1" applyFill="1" applyBorder="1"/>
    <x:xf numFmtId="0" fontId="4" fillId="3" borderId="66" xfId="0" applyNumberFormat="1" applyFont="1" applyFill="1" applyBorder="1"/>
    <x:xf numFmtId="0" fontId="6" fillId="5" borderId="60" xfId="0" applyNumberFormat="1" applyFont="1" applyFill="1" applyBorder="1"/>
    <x:xf numFmtId="202" fontId="10" fillId="7" borderId="66" xfId="0" applyNumberFormat="1" applyFont="1" applyFill="1" applyBorder="1" applyAlignment="1">
      <x:alignment horizontal="right"/>
    </x:xf>
    <x:xf numFmtId="200" fontId="10" fillId="7" borderId="66" xfId="0" applyNumberFormat="1" applyFont="1" applyFill="1" applyBorder="1" applyAlignment="1">
      <x:alignment horizontal="right"/>
    </x:xf>
    <x:xf numFmtId="0" fontId="4" fillId="3" borderId="61" xfId="0" applyNumberFormat="1" applyFont="1" applyFill="1" applyBorder="1"/>
    <x:xf numFmtId="0" fontId="4" fillId="3" borderId="67" xfId="0" applyNumberFormat="1" applyFont="1" applyFill="1" applyBorder="1"/>
    <x:xf numFmtId="0" fontId="6" fillId="5" borderId="61" xfId="0" applyNumberFormat="1" applyFont="1" applyFill="1" applyBorder="1"/>
    <x:xf numFmtId="202" fontId="10" fillId="7" borderId="67" xfId="0" applyNumberFormat="1" applyFont="1" applyFill="1" applyBorder="1" applyAlignment="1">
      <x:alignment horizontal="right"/>
    </x:xf>
    <x:xf numFmtId="200" fontId="10" fillId="7" borderId="67" xfId="0" applyNumberFormat="1" applyFont="1" applyFill="1" applyBorder="1" applyAlignment="1">
      <x:alignment horizontal="right"/>
    </x:xf>
    <x:xf numFmtId="0" fontId="4" fillId="3" borderId="176" xfId="0" applyNumberFormat="1" applyFont="1" applyFill="1" applyBorder="1"/>
    <x:xf numFmtId="0" fontId="4" fillId="3" borderId="177" xfId="0" applyNumberFormat="1" applyFont="1" applyFill="1" applyBorder="1"/>
    <x:xf numFmtId="0" fontId="6" fillId="5" borderId="176" xfId="0" applyNumberFormat="1" applyFont="1" applyFill="1" applyBorder="1"/>
    <x:xf numFmtId="202" fontId="10" fillId="7" borderId="177" xfId="0" applyNumberFormat="1" applyFont="1" applyFill="1" applyBorder="1" applyAlignment="1">
      <x:alignment horizontal="right"/>
    </x:xf>
    <x:xf numFmtId="200" fontId="10" fillId="7" borderId="177" xfId="0" applyNumberFormat="1" applyFont="1" applyFill="1" applyBorder="1" applyAlignment="1">
      <x:alignment horizontal="right"/>
    </x:xf>
    <x:xf numFmtId="0" fontId="4" fillId="3" borderId="178" xfId="0" applyNumberFormat="1" applyFont="1" applyFill="1" applyBorder="1"/>
    <x:xf numFmtId="0" fontId="4" fillId="3" borderId="179" xfId="0" applyNumberFormat="1" applyFont="1" applyFill="1" applyBorder="1"/>
    <x:xf numFmtId="0" fontId="6" fillId="5" borderId="178" xfId="0" applyNumberFormat="1" applyFont="1" applyFill="1" applyBorder="1"/>
    <x:xf numFmtId="202" fontId="10" fillId="7" borderId="179" xfId="0" applyNumberFormat="1" applyFont="1" applyFill="1" applyBorder="1" applyAlignment="1">
      <x:alignment horizontal="right"/>
    </x:xf>
    <x:xf numFmtId="200" fontId="10" fillId="7" borderId="179" xfId="0" applyNumberFormat="1" applyFont="1" applyFill="1" applyBorder="1" applyAlignment="1">
      <x:alignment horizontal="right"/>
    </x:xf>
    <x:xf numFmtId="0" fontId="4" fillId="3" borderId="180" xfId="0" applyNumberFormat="1" applyFont="1" applyFill="1" applyBorder="1"/>
    <x:xf numFmtId="0" fontId="4" fillId="3" borderId="181" xfId="0" applyNumberFormat="1" applyFont="1" applyFill="1" applyBorder="1"/>
    <x:xf numFmtId="0" fontId="6" fillId="5" borderId="180" xfId="0" applyNumberFormat="1" applyFont="1" applyFill="1" applyBorder="1"/>
    <x:xf numFmtId="202" fontId="10" fillId="7" borderId="181" xfId="0" applyNumberFormat="1" applyFont="1" applyFill="1" applyBorder="1" applyAlignment="1">
      <x:alignment horizontal="right"/>
    </x:xf>
    <x:xf numFmtId="200" fontId="10" fillId="7" borderId="181" xfId="0" applyNumberFormat="1" applyFont="1" applyFill="1" applyBorder="1" applyAlignment="1">
      <x:alignment horizontal="right"/>
    </x:xf>
    <x:xf numFmtId="0" fontId="4" fillId="3" borderId="182" xfId="0" applyNumberFormat="1" applyFont="1" applyFill="1" applyBorder="1"/>
    <x:xf numFmtId="0" fontId="4" fillId="3" borderId="183" xfId="0" applyNumberFormat="1" applyFont="1" applyFill="1" applyBorder="1"/>
    <x:xf numFmtId="0" fontId="6" fillId="5" borderId="182" xfId="0" applyNumberFormat="1" applyFont="1" applyFill="1" applyBorder="1"/>
    <x:xf numFmtId="202" fontId="10" fillId="7" borderId="183" xfId="0" applyNumberFormat="1" applyFont="1" applyFill="1" applyBorder="1" applyAlignment="1">
      <x:alignment horizontal="right"/>
    </x:xf>
    <x:xf numFmtId="200" fontId="10" fillId="7" borderId="183" xfId="0" applyNumberFormat="1" applyFont="1" applyFill="1" applyBorder="1" applyAlignment="1">
      <x:alignment horizontal="right"/>
    </x:xf>
    <x:xf numFmtId="0" fontId="4" fillId="3" borderId="184" xfId="0" applyNumberFormat="1" applyFont="1" applyFill="1" applyBorder="1"/>
    <x:xf numFmtId="0" fontId="6" fillId="5" borderId="184" xfId="0" applyNumberFormat="1" applyFont="1" applyFill="1" applyBorder="1"/>
    <x:xf numFmtId="202" fontId="10" fillId="7" borderId="184" xfId="0" applyNumberFormat="1" applyFont="1" applyFill="1" applyBorder="1" applyAlignment="1">
      <x:alignment horizontal="right"/>
    </x:xf>
    <x:xf numFmtId="200" fontId="10" fillId="7" borderId="184" xfId="0" applyNumberFormat="1" applyFont="1" applyFill="1" applyBorder="1" applyAlignment="1">
      <x:alignment horizontal="right"/>
    </x:xf>
    <x:xf numFmtId="0" fontId="4" fillId="3" borderId="185" xfId="0" applyNumberFormat="1" applyFont="1" applyFill="1" applyBorder="1"/>
    <x:xf numFmtId="0" fontId="6" fillId="5" borderId="185" xfId="0" applyNumberFormat="1" applyFont="1" applyFill="1" applyBorder="1"/>
    <x:xf numFmtId="202" fontId="10" fillId="7" borderId="185" xfId="0" applyNumberFormat="1" applyFont="1" applyFill="1" applyBorder="1" applyAlignment="1">
      <x:alignment horizontal="right"/>
    </x:xf>
    <x:xf numFmtId="200" fontId="10" fillId="7" borderId="185" xfId="0" applyNumberFormat="1" applyFont="1" applyFill="1" applyBorder="1" applyAlignment="1">
      <x:alignment horizontal="right"/>
    </x:xf>
    <x:xf numFmtId="0" fontId="2" fillId="5" borderId="33" xfId="0" applyNumberFormat="1" applyFont="1" applyFill="1" applyBorder="1" applyAlignment="1">
      <x:alignment horizontal="right" wrapText="1"/>
    </x:xf>
    <x:xf numFmtId="0" fontId="2" fillId="5" borderId="34" xfId="0" applyNumberFormat="1" applyFont="1" applyFill="1" applyBorder="1" applyAlignment="1">
      <x:alignment horizontal="right" wrapText="1"/>
    </x:xf>
    <x:xf numFmtId="0" fontId="2" fillId="5" borderId="36" xfId="0" applyNumberFormat="1" applyFont="1" applyFill="1" applyBorder="1" applyAlignment="1">
      <x:alignment horizontal="right" wrapText="1"/>
    </x:xf>
    <x:xf numFmtId="0" fontId="2" fillId="5" borderId="37" xfId="0" applyNumberFormat="1" applyFont="1" applyFill="1" applyBorder="1" applyAlignment="1">
      <x:alignment horizontal="right" wrapText="1"/>
    </x:xf>
    <x:xf numFmtId="0" fontId="2" fillId="5" borderId="39" xfId="0" applyNumberFormat="1" applyFont="1" applyFill="1" applyBorder="1" applyAlignment="1">
      <x:alignment horizontal="right" wrapText="1"/>
    </x:xf>
    <x:xf numFmtId="0" fontId="2" fillId="5" borderId="40" xfId="0" applyNumberFormat="1" applyFont="1" applyFill="1" applyBorder="1" applyAlignment="1">
      <x:alignment horizontal="right" wrapText="1"/>
    </x:xf>
    <x:xf numFmtId="0" fontId="2" fillId="5" borderId="42" xfId="0" applyNumberFormat="1" applyFont="1" applyFill="1" applyBorder="1" applyAlignment="1">
      <x:alignment horizontal="right" wrapText="1"/>
    </x:xf>
    <x:xf numFmtId="0" fontId="2" fillId="5" borderId="43" xfId="0" applyNumberFormat="1" applyFont="1" applyFill="1" applyBorder="1" applyAlignment="1">
      <x:alignment horizontal="right" wrapText="1"/>
    </x:xf>
    <x:xf numFmtId="0" fontId="2" fillId="5" borderId="45" xfId="0" applyNumberFormat="1" applyFont="1" applyFill="1" applyBorder="1" applyAlignment="1">
      <x:alignment horizontal="right" wrapText="1"/>
    </x:xf>
    <x:xf numFmtId="0" fontId="2" fillId="5" borderId="46" xfId="0" applyNumberFormat="1" applyFont="1" applyFill="1" applyBorder="1" applyAlignment="1">
      <x:alignment horizontal="right" wrapText="1"/>
    </x:xf>
    <x:xf numFmtId="0" fontId="2" fillId="5" borderId="48" xfId="0" applyNumberFormat="1" applyFont="1" applyFill="1" applyBorder="1" applyAlignment="1">
      <x:alignment horizontal="right" wrapText="1"/>
    </x:xf>
    <x:xf numFmtId="0" fontId="2" fillId="5" borderId="49" xfId="0" applyNumberFormat="1" applyFont="1" applyFill="1" applyBorder="1" applyAlignment="1">
      <x:alignment horizontal="right" wrapText="1"/>
    </x:xf>
    <x:xf numFmtId="0" fontId="2" fillId="5" borderId="155" xfId="0" applyNumberFormat="1" applyFont="1" applyFill="1" applyBorder="1" applyAlignment="1">
      <x:alignment horizontal="right" wrapText="1"/>
    </x:xf>
    <x:xf numFmtId="0" fontId="2" fillId="5" borderId="157" xfId="0" applyNumberFormat="1" applyFont="1" applyFill="1" applyBorder="1" applyAlignment="1">
      <x:alignment horizontal="right" wrapText="1"/>
    </x:xf>
    <x:xf numFmtId="0" fontId="2" fillId="5" borderId="161" xfId="0" applyNumberFormat="1" applyFont="1" applyFill="1" applyBorder="1" applyAlignment="1">
      <x:alignment horizontal="right" wrapText="1"/>
    </x:xf>
    <x:xf numFmtId="0" fontId="2" fillId="5" borderId="163" xfId="0" applyNumberFormat="1" applyFont="1" applyFill="1" applyBorder="1" applyAlignment="1">
      <x:alignment horizontal="right" wrapText="1"/>
    </x:xf>
    <x:xf numFmtId="0" fontId="2" fillId="5" borderId="167" xfId="0" applyNumberFormat="1" applyFont="1" applyFill="1" applyBorder="1" applyAlignment="1">
      <x:alignment horizontal="right" wrapText="1"/>
    </x:xf>
    <x:xf numFmtId="0" fontId="2" fillId="5" borderId="169" xfId="0" applyNumberFormat="1" applyFont="1" applyFill="1" applyBorder="1" applyAlignment="1">
      <x:alignment horizontal="right" wrapText="1"/>
    </x:xf>
    <x:xf numFmtId="0" fontId="2" fillId="5" borderId="173" xfId="0" applyNumberFormat="1" applyFont="1" applyFill="1" applyBorder="1" applyAlignment="1">
      <x:alignment horizontal="right" wrapText="1"/>
    </x:xf>
    <x:xf numFmtId="0" fontId="2" fillId="5" borderId="175" xfId="0" applyNumberFormat="1" applyFont="1" applyFill="1" applyBorder="1" applyAlignment="1">
      <x:alignment horizontal="right" wrapText="1"/>
    </x:xf>
    <x:xf numFmtId="0" fontId="2" fillId="5" borderId="66" xfId="0" applyNumberFormat="1" applyFont="1" applyFill="1" applyBorder="1" applyAlignment="1">
      <x:alignment horizontal="right" wrapText="1"/>
    </x:xf>
    <x:xf numFmtId="0" fontId="2" fillId="5" borderId="67" xfId="0" applyNumberFormat="1" applyFont="1" applyFill="1" applyBorder="1" applyAlignment="1">
      <x:alignment horizontal="right" wrapText="1"/>
    </x:xf>
    <x:xf numFmtId="0" fontId="2" fillId="5" borderId="177" xfId="0" applyNumberFormat="1" applyFont="1" applyFill="1" applyBorder="1" applyAlignment="1">
      <x:alignment horizontal="right" wrapText="1"/>
    </x:xf>
    <x:xf numFmtId="0" fontId="2" fillId="5" borderId="179" xfId="0" applyNumberFormat="1" applyFont="1" applyFill="1" applyBorder="1" applyAlignment="1">
      <x:alignment horizontal="right" wrapText="1"/>
    </x:xf>
    <x:xf numFmtId="0" fontId="2" fillId="5" borderId="181" xfId="0" applyNumberFormat="1" applyFont="1" applyFill="1" applyBorder="1" applyAlignment="1">
      <x:alignment horizontal="right" wrapText="1"/>
    </x:xf>
    <x:xf numFmtId="0" fontId="2" fillId="5" borderId="183" xfId="0" applyNumberFormat="1" applyFont="1" applyFill="1" applyBorder="1" applyAlignment="1">
      <x:alignment horizontal="right" wrapText="1"/>
    </x:xf>
    <x:xf numFmtId="0" fontId="2" fillId="7" borderId="184" xfId="0" applyNumberFormat="1" applyFont="1" applyFill="1" applyBorder="1" applyAlignment="1">
      <x:alignment horizontal="right" wrapText="1"/>
    </x:xf>
    <x:xf numFmtId="0" fontId="2" fillId="7" borderId="185" xfId="0" applyNumberFormat="1" applyFont="1" applyFill="1" applyBorder="1" applyAlignment="1">
      <x:alignment horizontal="right" wrapText="1"/>
    </x:xf>
    <x:xf numFmtId="200" fontId="2" fillId="7" borderId="184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40340b7a4648a9" /><Relationship Type="http://schemas.openxmlformats.org/officeDocument/2006/relationships/theme" Target="/xl/theme/theme1.xml" Id="R0acfe6085b2c4b2f" /><Relationship Type="http://schemas.openxmlformats.org/officeDocument/2006/relationships/sharedStrings" Target="/xl/sharedStrings.xml" Id="R838e5bd2fb054b98" /><Relationship Type="http://schemas.openxmlformats.org/officeDocument/2006/relationships/worksheet" Target="/xl/worksheets/sheet1.xml" Id="R44e7e5511812419a" /><Relationship Type="http://schemas.openxmlformats.org/officeDocument/2006/relationships/worksheet" Target="/xl/worksheets/sheet2.xml" Id="R592b71e9411342fe" /><Relationship Type="http://schemas.openxmlformats.org/officeDocument/2006/relationships/worksheet" Target="/xl/worksheets/sheet3.xml" Id="R4602216211bd4a8f" /><Relationship Type="http://schemas.openxmlformats.org/officeDocument/2006/relationships/worksheet" Target="/xl/worksheets/sheet4.xml" Id="R04b890c550df4a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57d5622e194450f" /></Relationships>
</file>

<file path=xl/drawings/charts/chart1.xml><?xml version="1.0" encoding="utf-8"?>
<c:chartSpace xmlns:c="http://schemas.openxmlformats.org/drawingml/2006/chart">
  <c:lang val="en-US"/>
  <c:roundedCorners val="0"/>
  <c:chart>
    <c:spPr>
      <a:solidFill xmlns:a="http://schemas.openxmlformats.org/drawingml/2006/main">
        <a:srgbClr val="EEF4F8"/>
      </a:solidFill>
      <a:ln xmlns:a="http://schemas.openxmlformats.org/drawingml/2006/main">
        <a:solidFill>
          <a:srgbClr val="C4D0DD"/>
        </a:solidFill>
      </a:ln>
    </c:spPr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1">
                <a:solidFill>
                  <a:srgbClr val="111827"/>
                </a:solidFill>
              </a:rPr>
              <a:t>Compliance by region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1">
              <a:solidFill>
                <a:srgbClr val="111827"/>
              </a:solidFill>
            </a:defRPr>
          </a:pPr>
        </a:p>
      </c:txPr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Average compliance</c:v>
          </c:tx>
          <c:spPr>
            <a:solidFill xmlns:a="http://schemas.openxmlformats.org/drawingml/2006/main">
              <a:srgbClr val="4F46E5"/>
            </a:solidFill>
            <a:ln xmlns:a="http://schemas.openxmlformats.org/drawingml/2006/main">
              <a:solidFill>
                <a:srgbClr val="4F46E5"/>
              </a:solidFill>
            </a:ln>
          </c:spPr>
          <c:cat>
            <c:strRef>
              <c:f>'Dashboard'!$A$16:$A$20</c:f>
              <c:strCache>
                <c:ptCount val="0"/>
              </c:strCache>
            </c:strRef>
          </c:cat>
          <c:val>
            <c:numRef>
              <c:f>'Dashboard'!$B$16:$B$20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  <c:spPr>
        <a:solidFill xmlns:a="http://schemas.openxmlformats.org/drawingml/2006/main">
          <a:srgbClr val="FFFFFF"/>
        </a:solidFill>
        <a:ln xmlns:a="http://schemas.openxmlformats.org/drawingml/2006/main">
          <a:solidFill>
            <a:srgbClr val="D9E2EC"/>
          </a:solidFill>
        </a:ln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solidFill>
                <a:srgbClr val="52606D"/>
              </a:solidFill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7</xdr:row>
      <xdr:rowOff>0</xdr:rowOff>
    </xdr:from>
    <xdr:ext cx="5334000" cy="3048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7d5622e194450f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477fffe1e52d40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709999084472656" hidden="0" customWidth="1"/>
    <x:col min="2" max="2" width="36.43000030517578" hidden="0" customWidth="1"/>
    <x:col min="3" max="3" width="30.709999084472656" hidden="0" customWidth="1"/>
    <x:col min="4" max="4" width="30.709999084472656" hidden="0" customWidth="1"/>
    <x:col min="5" max="5" width="30.709999084472656" hidden="0" customWidth="1"/>
    <x:col min="6" max="6" width="30.709999084472656" hidden="0" customWidth="1"/>
    <x:col min="7" max="7" width="30.709999084472656" hidden="0" customWidth="1"/>
    <x:col min="8" max="8" width="30.709999084472656" hidden="0" customWidth="1"/>
  </x:cols>
  <x:sheetData>
    <x:row r="1" ht="25.5" customHeight="1">
      <x:c r="A1" s="56" t="str">
        <x:v>Franchise Campaign Rollout Tracker</x:v>
      </x:c>
      <x:c r="B1" s="32"/>
      <x:c r="C1" s="32"/>
      <x:c r="D1" s="32"/>
      <x:c r="E1" s="32"/>
      <x:c r="F1" s="32"/>
      <x:c r="G1" s="32"/>
      <x:c r="H1" s="80"/>
      <x:c r="I1" s="6"/>
      <x:c r="J1" s="6"/>
    </x:row>
    <x:row r="2" ht="25.5" customHeight="1">
      <x:c r="A2" s="57"/>
      <x:c r="B2" s="18"/>
      <x:c r="C2" s="18"/>
      <x:c r="D2" s="18"/>
      <x:c r="E2" s="18"/>
      <x:c r="F2" s="18"/>
      <x:c r="G2" s="18"/>
      <x:c r="H2" s="81"/>
      <x:c r="I2" s="6"/>
      <x:c r="J2" s="6"/>
    </x:row>
    <x:row r="3" ht="19.5" customHeight="1">
      <x:c r="A3" s="58" t="str">
        <x:v>Track centralized campaign rollout without losing visibility into local readiness and compliance.</x:v>
      </x:c>
      <x:c r="B3" s="26"/>
      <x:c r="C3" s="26"/>
      <x:c r="D3" s="26"/>
      <x:c r="E3" s="26"/>
      <x:c r="F3" s="26"/>
      <x:c r="G3" s="26"/>
      <x:c r="H3" s="82"/>
      <x:c r="I3" s="6"/>
      <x:c r="J3" s="6"/>
    </x:row>
    <x:row r="4" ht="19.5" customHeight="1">
      <x:c r="A4" s="59"/>
      <x:c r="B4" s="38"/>
      <x:c r="C4" s="38"/>
      <x:c r="D4" s="38"/>
      <x:c r="E4" s="38"/>
      <x:c r="F4" s="38"/>
      <x:c r="G4" s="38"/>
      <x:c r="H4" s="83"/>
      <x:c r="I4" s="6"/>
      <x:c r="J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</x:row>
    <x:row r="6">
      <x:c r="A6" s="108" t="str">
        <x:v>Document control</x:v>
      </x:c>
      <x:c r="B6" s="102" t="str"/>
      <x:c r="C6" s="102" t="str"/>
      <x:c r="D6" s="114" t="str"/>
      <x:c r="E6" s="6"/>
      <x:c r="F6" s="6"/>
      <x:c r="G6" s="6"/>
      <x:c r="H6" s="6"/>
      <x:c r="I6" s="6"/>
      <x:c r="J6" s="6"/>
    </x:row>
    <x:row r="7">
      <x:c r="A7" s="168" t="str">
        <x:v>Audience</x:v>
      </x:c>
      <x:c r="B7" s="169" t="str">
        <x:v>Franchise marketing teams, multi-unit operators, area managers, brand governance leads</x:v>
      </x:c>
      <x:c r="C7" s="6"/>
      <x:c r="D7" s="6"/>
      <x:c r="E7" s="6"/>
      <x:c r="F7" s="6"/>
      <x:c r="G7" s="6"/>
      <x:c r="H7" s="6"/>
      <x:c r="I7" s="6"/>
      <x:c r="J7" s="6"/>
    </x:row>
    <x:row r="8">
      <x:c r="A8" s="168" t="str">
        <x:v>Primary outcome</x:v>
      </x:c>
      <x:c r="B8" s="169" t="str">
        <x:v>A cleaner store-by-store rollout view with compliance and launch status in the same file.</x:v>
      </x:c>
      <x:c r="C8" s="6"/>
      <x:c r="D8" s="6"/>
      <x:c r="E8" s="6"/>
      <x:c r="F8" s="6"/>
      <x:c r="G8" s="6"/>
      <x:c r="H8" s="6"/>
      <x:c r="I8" s="6"/>
      <x:c r="J8" s="6"/>
    </x:row>
    <x:row r="9">
      <x:c r="A9" s="168" t="str">
        <x:v>Version</x:v>
      </x:c>
      <x:c r="B9" s="169" t="str">
        <x:v>1.0</x:v>
      </x:c>
      <x:c r="C9" s="6"/>
      <x:c r="D9" s="6"/>
      <x:c r="E9" s="6"/>
      <x:c r="F9" s="6"/>
      <x:c r="G9" s="6"/>
      <x:c r="H9" s="6"/>
      <x:c r="I9" s="6"/>
      <x:c r="J9" s="6"/>
    </x:row>
    <x:row r="10">
      <x:c r="A10" s="168" t="str">
        <x:v>Last updated</x:v>
      </x:c>
      <x:c r="B10" s="169" t="str">
        <x:v>19-Apr-2026</x:v>
      </x:c>
      <x:c r="C10" s="6"/>
      <x:c r="D10" s="6"/>
      <x:c r="E10" s="6"/>
      <x:c r="F10" s="6"/>
      <x:c r="G10" s="6"/>
      <x:c r="H10" s="6"/>
      <x:c r="I10" s="6"/>
      <x:c r="J10" s="6"/>
    </x:row>
    <x:row r="11">
      <x:c r="A11" s="168" t="str">
        <x:v>Editable cells</x:v>
      </x:c>
      <x:c r="B11" s="169" t="str">
        <x:v>Amber cells</x:v>
      </x:c>
      <x:c r="C11" s="6"/>
      <x:c r="D11" s="6"/>
      <x:c r="E11" s="6"/>
      <x:c r="F11" s="6"/>
      <x:c r="G11" s="6"/>
      <x:c r="H11" s="6"/>
      <x:c r="I11" s="6"/>
      <x:c r="J11" s="6"/>
    </x:row>
    <x:row r="12">
      <x:c r="A12" s="168" t="str">
        <x:v>Review rhythm</x:v>
      </x:c>
      <x:c r="B12" s="169" t="str">
        <x:v>Weekly during active campaigns, monthly for planning</x:v>
      </x:c>
      <x:c r="C12" s="6"/>
      <x:c r="D12" s="6"/>
      <x:c r="E12" s="6"/>
      <x:c r="F12" s="6"/>
      <x:c r="G12" s="6"/>
      <x:c r="H12" s="6"/>
      <x:c r="I12" s="6"/>
      <x:c r="J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</x:row>
    <x:row r="14">
      <x:c r="A14" s="108" t="str">
        <x:v>What this workbook helps you control</x:v>
      </x:c>
      <x:c r="B14" s="102"/>
      <x:c r="C14" s="102"/>
      <x:c r="D14" s="102"/>
      <x:c r="E14" s="102"/>
      <x:c r="F14" s="102"/>
      <x:c r="G14" s="102"/>
      <x:c r="H14" s="114"/>
      <x:c r="I14" s="6"/>
      <x:c r="J14" s="6"/>
    </x:row>
    <x:row r="15" ht="19.5" customHeight="1">
      <x:c r="A15" s="178" t="str">
        <x:v>1. Keep central asset distribution and local adaptation approvals visible together.</x:v>
      </x:c>
      <x:c r="B15" s="178"/>
      <x:c r="C15" s="178"/>
      <x:c r="D15" s="178"/>
      <x:c r="E15" s="178"/>
      <x:c r="F15" s="178"/>
      <x:c r="G15" s="178"/>
      <x:c r="H15" s="178"/>
      <x:c r="I15" s="6"/>
      <x:c r="J15" s="6"/>
    </x:row>
    <x:row r="16" ht="19.5" customHeight="1">
      <x:c r="A16" s="178" t="str">
        <x:v>2. Track store compliance as a management signal, not an afterthought.</x:v>
      </x:c>
      <x:c r="B16" s="178"/>
      <x:c r="C16" s="178"/>
      <x:c r="D16" s="178"/>
      <x:c r="E16" s="178"/>
      <x:c r="F16" s="178"/>
      <x:c r="G16" s="178"/>
      <x:c r="H16" s="178"/>
      <x:c r="I16" s="6"/>
      <x:c r="J16" s="6"/>
    </x:row>
    <x:row r="17" ht="19.5" customHeight="1">
      <x:c r="A17" s="178" t="str">
        <x:v>3. Use region-based dashboard views to see where rollout friction is clustering.</x:v>
      </x:c>
      <x:c r="B17" s="178"/>
      <x:c r="C17" s="178"/>
      <x:c r="D17" s="178"/>
      <x:c r="E17" s="178"/>
      <x:c r="F17" s="178"/>
      <x:c r="G17" s="178"/>
      <x:c r="H17" s="178"/>
      <x:c r="I17" s="6"/>
      <x:c r="J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</x:row>
    <x:row r="20">
      <x:c r="A20" s="288" t="str">
        <x:v>Input cell</x:v>
      </x:c>
      <x:c r="B20" s="289" t="str">
        <x:v>Starter assumption or editable user entry</x:v>
      </x:c>
      <x:c r="C20" s="6"/>
      <x:c r="D20" s="6"/>
      <x:c r="E20" s="6"/>
      <x:c r="F20" s="6"/>
      <x:c r="G20" s="6"/>
      <x:c r="H20" s="6"/>
      <x:c r="I20" s="6"/>
      <x:c r="J20" s="6"/>
    </x:row>
    <x:row r="21">
      <x:c r="A21" s="290" t="str">
        <x:v>Formula cell</x:v>
      </x:c>
      <x:c r="B21" s="289" t="str">
        <x:v>Calculated output - keep these logic cells intact</x:v>
      </x:c>
      <x:c r="C21" s="6"/>
      <x:c r="D21" s="6"/>
      <x:c r="E21" s="6"/>
      <x:c r="F21" s="6"/>
      <x:c r="G21" s="6"/>
      <x:c r="H21" s="6"/>
      <x:c r="I21" s="6"/>
      <x:c r="J21" s="6"/>
    </x:row>
    <x:row r="22">
      <x:c r="A22" s="291" t="str">
        <x:v>Control note</x:v>
      </x:c>
      <x:c r="B22" s="289" t="str">
        <x:v>Use this area for assumptions, approvals, and reviewer sign-off</x:v>
      </x:c>
      <x:c r="C22" s="6"/>
      <x:c r="D22" s="6"/>
      <x:c r="E22" s="6"/>
      <x:c r="F22" s="6"/>
      <x:c r="G22" s="6"/>
      <x:c r="H22" s="6"/>
      <x:c r="I22" s="6"/>
      <x:c r="J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 ht="18" customHeight="1">
      <x:c r="A25" s="386" t="str">
        <x:v>Tab</x:v>
      </x:c>
      <x:c r="B25" s="386" t="str">
        <x:v>Purpose</x:v>
      </x:c>
      <x:c r="C25" s="6"/>
      <x:c r="D25" s="6"/>
      <x:c r="E25" s="6"/>
      <x:c r="F25" s="6"/>
      <x:c r="G25" s="6"/>
      <x:c r="H25" s="6"/>
      <x:c r="I25" s="6"/>
      <x:c r="J25" s="6"/>
    </x:row>
    <x:row r="26" ht="19.5" customHeight="1">
      <x:c r="A26" s="387" t="str">
        <x:v>Stores</x:v>
      </x:c>
      <x:c r="B26" s="387" t="str">
        <x:v>The store roster and compliance snapshot.</x:v>
      </x:c>
      <x:c r="C26" s="6"/>
      <x:c r="D26" s="6"/>
      <x:c r="E26" s="6"/>
      <x:c r="F26" s="6"/>
      <x:c r="G26" s="6"/>
      <x:c r="H26" s="6"/>
      <x:c r="I26" s="6"/>
      <x:c r="J26" s="6"/>
    </x:row>
    <x:row r="27" ht="19.5" customHeight="1">
      <x:c r="A27" s="387" t="str">
        <x:v>Campaign_Rollout</x:v>
      </x:c>
      <x:c r="B27" s="387" t="str">
        <x:v>Campaign-by-store rollout tracking.</x:v>
      </x:c>
      <x:c r="C27" s="6"/>
      <x:c r="D27" s="6"/>
      <x:c r="E27" s="6"/>
      <x:c r="F27" s="6"/>
      <x:c r="G27" s="6"/>
      <x:c r="H27" s="6"/>
      <x:c r="I27" s="6"/>
      <x:c r="J27" s="6"/>
    </x:row>
    <x:row r="28" ht="19.5" customHeight="1">
      <x:c r="A28" s="387" t="str">
        <x:v>Dashboard</x:v>
      </x:c>
      <x:c r="B28" s="387" t="str">
        <x:v>Average compliance and readiness by region.</x:v>
      </x:c>
      <x:c r="C28" s="6"/>
      <x:c r="D28" s="6"/>
      <x:c r="E28" s="6"/>
      <x:c r="F28" s="6"/>
      <x:c r="G28" s="6"/>
      <x:c r="H28" s="6"/>
      <x:c r="I28" s="6"/>
      <x:c r="J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</x:row>
  </x:sheetData>
  <x:mergeCells>
    <x:mergeCell ref="A1:H2"/>
    <x:mergeCell ref="A3:H4"/>
    <x:mergeCell ref="A6:D6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.43000030517578" hidden="0" customWidth="1"/>
    <x:col min="3" max="3" width="16.43000030517578" hidden="0" customWidth="1"/>
    <x:col min="4" max="4" width="17.860000610351562" hidden="0" customWidth="1"/>
    <x:col min="5" max="5" width="16.43000030517578" hidden="0" customWidth="1"/>
    <x:col min="6" max="6" width="16.43000030517578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5.5" customHeight="1">
      <x:c r="A1" s="56" t="str">
        <x:v>Store Roster</x:v>
      </x:c>
      <x:c r="B1" s="32"/>
      <x:c r="C1" s="32"/>
      <x:c r="D1" s="32"/>
      <x:c r="E1" s="32"/>
      <x:c r="F1" s="32"/>
      <x:c r="G1" s="32"/>
      <x:c r="H1" s="32"/>
      <x:c r="I1" s="80"/>
      <x:c r="J1" s="6"/>
      <x:c r="K1" s="6"/>
    </x:row>
    <x:row r="2" ht="25.5" customHeight="1">
      <x:c r="A2" s="57"/>
      <x:c r="B2" s="18"/>
      <x:c r="C2" s="18"/>
      <x:c r="D2" s="18"/>
      <x:c r="E2" s="18"/>
      <x:c r="F2" s="18"/>
      <x:c r="G2" s="18"/>
      <x:c r="H2" s="18"/>
      <x:c r="I2" s="81"/>
      <x:c r="J2" s="6"/>
      <x:c r="K2" s="6"/>
    </x:row>
    <x:row r="3" ht="19.5" customHeight="1">
      <x:c r="A3" s="58" t="str">
        <x:v>Track branch format, stage, and compliance in one place.</x:v>
      </x:c>
      <x:c r="B3" s="26"/>
      <x:c r="C3" s="26"/>
      <x:c r="D3" s="26"/>
      <x:c r="E3" s="26"/>
      <x:c r="F3" s="26"/>
      <x:c r="G3" s="26"/>
      <x:c r="H3" s="26"/>
      <x:c r="I3" s="82"/>
      <x:c r="J3" s="6"/>
      <x:c r="K3" s="6"/>
    </x:row>
    <x:row r="4" ht="19.5" customHeight="1">
      <x:c r="A4" s="59"/>
      <x:c r="B4" s="38"/>
      <x:c r="C4" s="38"/>
      <x:c r="D4" s="38"/>
      <x:c r="E4" s="38"/>
      <x:c r="F4" s="38"/>
      <x:c r="G4" s="38"/>
      <x:c r="H4" s="38"/>
      <x:c r="I4" s="83"/>
      <x:c r="J4" s="6"/>
      <x:c r="K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</x:row>
    <x:row r="6" ht="18" customHeight="1">
      <x:c r="A6" s="386" t="str">
        <x:v>Store</x:v>
      </x:c>
      <x:c r="B6" s="386" t="str">
        <x:v>City</x:v>
      </x:c>
      <x:c r="C6" s="386" t="str">
        <x:v>Region</x:v>
      </x:c>
      <x:c r="D6" s="386" t="str">
        <x:v>Format</x:v>
      </x:c>
      <x:c r="E6" s="386" t="str">
        <x:v>Launch stage</x:v>
      </x:c>
      <x:c r="F6" s="386" t="str">
        <x:v>Local lead</x:v>
      </x:c>
      <x:c r="G6" s="386" t="str">
        <x:v>Compliance %</x:v>
      </x:c>
      <x:c r="H6" s="386" t="str">
        <x:v>Go-live date</x:v>
      </x:c>
      <x:c r="I6" s="386" t="str">
        <x:v>Status</x:v>
      </x:c>
      <x:c r="J6" s="6"/>
      <x:c r="K6" s="6"/>
    </x:row>
    <x:row r="7" ht="19.5" customHeight="1">
      <x:c r="A7" s="438" t="str">
        <x:v>Jumeirah Beach Road</x:v>
      </x:c>
      <x:c r="B7" s="438" t="str">
        <x:v>Dubai</x:v>
      </x:c>
      <x:c r="C7" s="438" t="str">
        <x:v>Dubai</x:v>
      </x:c>
      <x:c r="D7" s="438" t="str">
        <x:v>Cafe</x:v>
      </x:c>
      <x:c r="E7" s="438" t="str">
        <x:v>Operating</x:v>
      </x:c>
      <x:c r="F7" s="438" t="str">
        <x:v>Sara</x:v>
      </x:c>
      <x:c r="G7" s="442" t="n">
        <x:v>0.92</x:v>
      </x:c>
      <x:c r="H7" s="444" t="n">
        <x:v>45910</x:v>
      </x:c>
      <x:c r="I7" s="438" t="str">
        <x:v>Live</x:v>
      </x:c>
      <x:c r="J7" s="6"/>
      <x:c r="K7" s="6"/>
    </x:row>
    <x:row r="8" ht="19.5" customHeight="1">
      <x:c r="A8" s="438" t="str">
        <x:v>Marina Promenade</x:v>
      </x:c>
      <x:c r="B8" s="438" t="str">
        <x:v>Dubai</x:v>
      </x:c>
      <x:c r="C8" s="438" t="str">
        <x:v>Dubai</x:v>
      </x:c>
      <x:c r="D8" s="438" t="str">
        <x:v>Cafe</x:v>
      </x:c>
      <x:c r="E8" s="438" t="str">
        <x:v>Operating</x:v>
      </x:c>
      <x:c r="F8" s="438" t="str">
        <x:v>Faisal</x:v>
      </x:c>
      <x:c r="G8" s="442" t="n">
        <x:v>0.87</x:v>
      </x:c>
      <x:c r="H8" s="444" t="n">
        <x:v>45963</x:v>
      </x:c>
      <x:c r="I8" s="438" t="str">
        <x:v>Live</x:v>
      </x:c>
      <x:c r="J8" s="6"/>
      <x:c r="K8" s="6"/>
    </x:row>
    <x:row r="9" ht="19.5" customHeight="1">
      <x:c r="A9" s="438" t="str">
        <x:v>Yas Bay</x:v>
      </x:c>
      <x:c r="B9" s="438" t="str">
        <x:v>Abu Dhabi</x:v>
      </x:c>
      <x:c r="C9" s="438" t="str">
        <x:v>Abu Dhabi</x:v>
      </x:c>
      <x:c r="D9" s="438" t="str">
        <x:v>Fast casual</x:v>
      </x:c>
      <x:c r="E9" s="438" t="str">
        <x:v>Opening soon</x:v>
      </x:c>
      <x:c r="F9" s="438" t="str">
        <x:v>Omar</x:v>
      </x:c>
      <x:c r="G9" s="442" t="n">
        <x:v>0.74</x:v>
      </x:c>
      <x:c r="H9" s="444" t="n">
        <x:v>46154</x:v>
      </x:c>
      <x:c r="I9" s="438" t="str">
        <x:v>Ready</x:v>
      </x:c>
      <x:c r="J9" s="6"/>
      <x:c r="K9" s="6"/>
    </x:row>
    <x:row r="10" ht="19.5" customHeight="1">
      <x:c r="A10" s="438" t="str">
        <x:v>Aljada</x:v>
      </x:c>
      <x:c r="B10" s="438" t="str">
        <x:v>Sharjah</x:v>
      </x:c>
      <x:c r="C10" s="438" t="str">
        <x:v>Sharjah</x:v>
      </x:c>
      <x:c r="D10" s="438" t="str">
        <x:v>QSR</x:v>
      </x:c>
      <x:c r="E10" s="438" t="str">
        <x:v>Pipeline</x:v>
      </x:c>
      <x:c r="F10" s="438" t="str">
        <x:v>Maha</x:v>
      </x:c>
      <x:c r="G10" s="442" t="n">
        <x:v>0.58</x:v>
      </x:c>
      <x:c r="H10" s="444" t="n">
        <x:v>46254</x:v>
      </x:c>
      <x:c r="I10" s="438" t="str">
        <x:v>In progress</x:v>
      </x:c>
      <x:c r="J10" s="6"/>
      <x:c r="K10" s="6"/>
    </x:row>
    <x:row r="11" ht="19.5" customHeight="1">
      <x:c r="A11" s="438" t="str">
        <x:v>West Bay</x:v>
      </x:c>
      <x:c r="B11" s="438" t="str">
        <x:v>Doha</x:v>
      </x:c>
      <x:c r="C11" s="438" t="str">
        <x:v>Doha</x:v>
      </x:c>
      <x:c r="D11" s="438" t="str">
        <x:v>Cafe</x:v>
      </x:c>
      <x:c r="E11" s="438" t="str">
        <x:v>Operating</x:v>
      </x:c>
      <x:c r="F11" s="438" t="str">
        <x:v>Lina</x:v>
      </x:c>
      <x:c r="G11" s="442" t="n">
        <x:v>0.81</x:v>
      </x:c>
      <x:c r="H11" s="444" t="n">
        <x:v>45992</x:v>
      </x:c>
      <x:c r="I11" s="438" t="str">
        <x:v>Live</x:v>
      </x:c>
      <x:c r="J11" s="6"/>
      <x:c r="K11" s="6"/>
    </x:row>
    <x:row r="12" ht="19.5" customHeight="1">
      <x:c r="A12" s="438" t="str">
        <x:v>Olaya</x:v>
      </x:c>
      <x:c r="B12" s="438" t="str">
        <x:v>Riyadh</x:v>
      </x:c>
      <x:c r="C12" s="438" t="str">
        <x:v>Riyadh</x:v>
      </x:c>
      <x:c r="D12" s="438" t="str">
        <x:v>Cloud kitchen</x:v>
      </x:c>
      <x:c r="E12" s="438" t="str">
        <x:v>Opening soon</x:v>
      </x:c>
      <x:c r="F12" s="438" t="str">
        <x:v>Hassan</x:v>
      </x:c>
      <x:c r="G12" s="442" t="n">
        <x:v>0.69</x:v>
      </x:c>
      <x:c r="H12" s="444" t="n">
        <x:v>46191</x:v>
      </x:c>
      <x:c r="I12" s="438" t="str">
        <x:v>Approved</x:v>
      </x:c>
      <x:c r="J12" s="6"/>
      <x:c r="K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</x:row>
  </x:sheetData>
  <x:mergeCells>
    <x:mergeCell ref="A1:I2"/>
    <x:mergeCell ref="A3:I4"/>
  </x:mergeCells>
  <x:dataValidations count="5">
    <x:dataValidation type="list" allowBlank="1" showDropDown="0" sqref="C7:C12">
      <x:formula1>Dubai,Abu Dhabi,Sharjah,Doha,Riyadh</x:formula1>
    </x:dataValidation>
    <x:dataValidation type="list" allowBlank="1" showDropDown="0" sqref="D7:D12">
      <x:formula1>Cafe,QSR,Fast casual,Cloud kitchen</x:formula1>
    </x:dataValidation>
    <x:dataValidation type="list" allowBlank="1" showDropDown="0" sqref="E7:E12">
      <x:formula1>Operating,Opening soon,Pipeline</x:formula1>
    </x:dataValidation>
    <x:dataValidation type="decimal" errorStyle="stop" operator="between" showErrorMessage="1" errorTitle="Invalid value" error="Enter a decimal between 0 and 1." sqref="G7:G12">
      <x:formula1>0</x:formula1>
      <x:formula2>1</x:formula2>
    </x:dataValidation>
    <x:dataValidation type="list" allowBlank="1" showDropDown="0" sqref="I7:I12">
      <x:formula1>Not started,In progress,Approved,Ready,Live,Complete,Blocked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.709999084472656" hidden="0" customWidth="1"/>
    <x:col min="3" max="3" width="15" hidden="0" customWidth="1"/>
    <x:col min="4" max="4" width="20.709999084472656" hidden="0" customWidth="1"/>
    <x:col min="5" max="5" width="12.140000343322754" hidden="0" customWidth="1"/>
    <x:col min="6" max="6" width="15" hidden="0" customWidth="1"/>
    <x:col min="7" max="7" width="15" hidden="0" customWidth="1"/>
    <x:col min="8" max="8" width="37.86000061035156" hidden="0" customWidth="1"/>
  </x:cols>
  <x:sheetData>
    <x:row r="1" ht="25.5" customHeight="1">
      <x:c r="A1" s="56" t="str">
        <x:v>Campaign Rollout</x:v>
      </x:c>
      <x:c r="B1" s="32"/>
      <x:c r="C1" s="32"/>
      <x:c r="D1" s="32"/>
      <x:c r="E1" s="32"/>
      <x:c r="F1" s="32"/>
      <x:c r="G1" s="32"/>
      <x:c r="H1" s="80"/>
      <x:c r="I1" s="6"/>
      <x:c r="J1" s="6"/>
    </x:row>
    <x:row r="2" ht="25.5" customHeight="1">
      <x:c r="A2" s="57"/>
      <x:c r="B2" s="18"/>
      <x:c r="C2" s="18"/>
      <x:c r="D2" s="18"/>
      <x:c r="E2" s="18"/>
      <x:c r="F2" s="18"/>
      <x:c r="G2" s="18"/>
      <x:c r="H2" s="81"/>
      <x:c r="I2" s="6"/>
      <x:c r="J2" s="6"/>
    </x:row>
    <x:row r="3" ht="19.5" customHeight="1">
      <x:c r="A3" s="58" t="str">
        <x:v>Use one row per campaign and store pairing when local rollout matters.</x:v>
      </x:c>
      <x:c r="B3" s="26"/>
      <x:c r="C3" s="26"/>
      <x:c r="D3" s="26"/>
      <x:c r="E3" s="26"/>
      <x:c r="F3" s="26"/>
      <x:c r="G3" s="26"/>
      <x:c r="H3" s="82"/>
      <x:c r="I3" s="6"/>
      <x:c r="J3" s="6"/>
    </x:row>
    <x:row r="4" ht="19.5" customHeight="1">
      <x:c r="A4" s="59"/>
      <x:c r="B4" s="38"/>
      <x:c r="C4" s="38"/>
      <x:c r="D4" s="38"/>
      <x:c r="E4" s="38"/>
      <x:c r="F4" s="38"/>
      <x:c r="G4" s="38"/>
      <x:c r="H4" s="83"/>
      <x:c r="I4" s="6"/>
      <x:c r="J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</x:row>
    <x:row r="6" ht="18" customHeight="1">
      <x:c r="A6" s="386" t="str">
        <x:v>Store</x:v>
      </x:c>
      <x:c r="B6" s="386" t="str">
        <x:v>Campaign</x:v>
      </x:c>
      <x:c r="C6" s="386" t="str">
        <x:v>Asset pack sent</x:v>
      </x:c>
      <x:c r="D6" s="386" t="str">
        <x:v>Local adaptation approved</x:v>
      </x:c>
      <x:c r="E6" s="386" t="str">
        <x:v>Media live</x:v>
      </x:c>
      <x:c r="F6" s="386" t="str">
        <x:v>Post-launch review</x:v>
      </x:c>
      <x:c r="G6" s="386" t="str">
        <x:v>Status</x:v>
      </x:c>
      <x:c r="H6" s="386" t="str">
        <x:v>Notes</x:v>
      </x:c>
      <x:c r="I6" s="6"/>
      <x:c r="J6" s="6"/>
    </x:row>
    <x:row r="7" ht="19.5" customHeight="1">
      <x:c r="A7" s="438" t="str">
        <x:v>Jumeirah Beach Road</x:v>
      </x:c>
      <x:c r="B7" s="438" t="str">
        <x:v>Summer cold drinks</x:v>
      </x:c>
      <x:c r="C7" s="438" t="str">
        <x:v>Yes</x:v>
      </x:c>
      <x:c r="D7" s="438" t="str">
        <x:v>Yes</x:v>
      </x:c>
      <x:c r="E7" s="438" t="str">
        <x:v>Yes</x:v>
      </x:c>
      <x:c r="F7" s="438" t="str">
        <x:v>Yes</x:v>
      </x:c>
      <x:c r="G7" s="438" t="str">
        <x:v>Complete</x:v>
      </x:c>
      <x:c r="H7" s="438" t="str">
        <x:v>Strong compliance and fast go-live.</x:v>
      </x:c>
      <x:c r="I7" s="6"/>
      <x:c r="J7" s="6"/>
    </x:row>
    <x:row r="8" ht="19.5" customHeight="1">
      <x:c r="A8" s="438" t="str">
        <x:v>Marina Promenade</x:v>
      </x:c>
      <x:c r="B8" s="438" t="str">
        <x:v>Summer cold drinks</x:v>
      </x:c>
      <x:c r="C8" s="438" t="str">
        <x:v>Yes</x:v>
      </x:c>
      <x:c r="D8" s="438" t="str">
        <x:v>Yes</x:v>
      </x:c>
      <x:c r="E8" s="438" t="str">
        <x:v>Yes</x:v>
      </x:c>
      <x:c r="F8" s="438" t="str">
        <x:v>No</x:v>
      </x:c>
      <x:c r="G8" s="438" t="str">
        <x:v>Live</x:v>
      </x:c>
      <x:c r="H8" s="438" t="str">
        <x:v>Waiting on week-one review.</x:v>
      </x:c>
      <x:c r="I8" s="6"/>
      <x:c r="J8" s="6"/>
    </x:row>
    <x:row r="9" ht="19.5" customHeight="1">
      <x:c r="A9" s="438" t="str">
        <x:v>Yas Bay</x:v>
      </x:c>
      <x:c r="B9" s="438" t="str">
        <x:v>Opening launch burst</x:v>
      </x:c>
      <x:c r="C9" s="438" t="str">
        <x:v>Yes</x:v>
      </x:c>
      <x:c r="D9" s="438" t="str">
        <x:v>No</x:v>
      </x:c>
      <x:c r="E9" s="438" t="str">
        <x:v>No</x:v>
      </x:c>
      <x:c r="F9" s="438" t="str">
        <x:v>No</x:v>
      </x:c>
      <x:c r="G9" s="438" t="str">
        <x:v>Ready</x:v>
      </x:c>
      <x:c r="H9" s="438" t="str">
        <x:v>Local mall media version not approved yet.</x:v>
      </x:c>
      <x:c r="I9" s="6"/>
      <x:c r="J9" s="6"/>
    </x:row>
    <x:row r="10" ht="19.5" customHeight="1">
      <x:c r="A10" s="438" t="str">
        <x:v>Aljada</x:v>
      </x:c>
      <x:c r="B10" s="438" t="str">
        <x:v>Breakfast combo reset</x:v>
      </x:c>
      <x:c r="C10" s="438" t="str">
        <x:v>No</x:v>
      </x:c>
      <x:c r="D10" s="438" t="str">
        <x:v>No</x:v>
      </x:c>
      <x:c r="E10" s="438" t="str">
        <x:v>No</x:v>
      </x:c>
      <x:c r="F10" s="438" t="str">
        <x:v>No</x:v>
      </x:c>
      <x:c r="G10" s="438" t="str">
        <x:v>Not started</x:v>
      </x:c>
      <x:c r="H10" s="438" t="str">
        <x:v>Store still in pipeline stage.</x:v>
      </x:c>
      <x:c r="I10" s="6"/>
      <x:c r="J10" s="6"/>
    </x:row>
    <x:row r="11" ht="19.5" customHeight="1">
      <x:c r="A11" s="438" t="str">
        <x:v>West Bay</x:v>
      </x:c>
      <x:c r="B11" s="438" t="str">
        <x:v>Corporate catering push</x:v>
      </x:c>
      <x:c r="C11" s="438" t="str">
        <x:v>Yes</x:v>
      </x:c>
      <x:c r="D11" s="438" t="str">
        <x:v>Yes</x:v>
      </x:c>
      <x:c r="E11" s="438" t="str">
        <x:v>Yes</x:v>
      </x:c>
      <x:c r="F11" s="438" t="str">
        <x:v>No</x:v>
      </x:c>
      <x:c r="G11" s="438" t="str">
        <x:v>Live</x:v>
      </x:c>
      <x:c r="H11" s="438" t="str">
        <x:v>Needs local Arabic creative variant.</x:v>
      </x:c>
      <x:c r="I11" s="6"/>
      <x:c r="J11" s="6"/>
    </x:row>
    <x:row r="12" ht="19.5" customHeight="1">
      <x:c r="A12" s="438" t="str">
        <x:v>Olaya</x:v>
      </x:c>
      <x:c r="B12" s="438" t="str">
        <x:v>Delivery relaunch</x:v>
      </x:c>
      <x:c r="C12" s="438" t="str">
        <x:v>Yes</x:v>
      </x:c>
      <x:c r="D12" s="438" t="str">
        <x:v>No</x:v>
      </x:c>
      <x:c r="E12" s="438" t="str">
        <x:v>No</x:v>
      </x:c>
      <x:c r="F12" s="438" t="str">
        <x:v>No</x:v>
      </x:c>
      <x:c r="G12" s="438" t="str">
        <x:v>In progress</x:v>
      </x:c>
      <x:c r="H12" s="438" t="str">
        <x:v>Delivery partner photography delayed.</x:v>
      </x:c>
      <x:c r="I12" s="6"/>
      <x:c r="J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</x:row>
  </x:sheetData>
  <x:mergeCells>
    <x:mergeCell ref="A1:H2"/>
    <x:mergeCell ref="A3:H4"/>
  </x:mergeCells>
  <x:dataValidations count="5">
    <x:dataValidation type="list" allowBlank="1" showDropDown="0" sqref="C7:C12">
      <x:formula1>Yes,No</x:formula1>
    </x:dataValidation>
    <x:dataValidation type="list" allowBlank="1" showDropDown="0" sqref="D7:D12">
      <x:formula1>Yes,No</x:formula1>
    </x:dataValidation>
    <x:dataValidation type="list" allowBlank="1" showDropDown="0" sqref="E7:E12">
      <x:formula1>Yes,No</x:formula1>
    </x:dataValidation>
    <x:dataValidation type="list" allowBlank="1" showDropDown="0" sqref="F7:F12">
      <x:formula1>Yes,No</x:formula1>
    </x:dataValidation>
    <x:dataValidation type="list" allowBlank="1" showDropDown="0" sqref="G7:G12">
      <x:formula1>Not started,In progress,Approved,Ready,Live,Complete,Blocked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6999969482422" hidden="0" customWidth="1"/>
    <x:col min="2" max="2" width="17.860000610351562" hidden="0" customWidth="1"/>
    <x:col min="3" max="3" width="25" hidden="0" customWidth="1"/>
    <x:col min="4" max="4" width="19.290000915527344" hidden="0" customWidth="1"/>
    <x:col min="5" max="5" width="19.290000915527344" hidden="0" customWidth="1"/>
    <x:col min="6" max="6" width="19.290000915527344" hidden="0" customWidth="1"/>
    <x:col min="7" max="7" width="19.290000915527344" hidden="0" customWidth="1"/>
    <x:col min="8" max="8" width="19.290000915527344" hidden="0" customWidth="1"/>
  </x:cols>
  <x:sheetData>
    <x:row r="1" ht="25.5" customHeight="1">
      <x:c r="A1" s="56" t="str">
        <x:v>Franchise Dashboard</x:v>
      </x:c>
      <x:c r="B1" s="32"/>
      <x:c r="C1" s="32"/>
      <x:c r="D1" s="32"/>
      <x:c r="E1" s="32"/>
      <x:c r="F1" s="32"/>
      <x:c r="G1" s="32"/>
      <x:c r="H1" s="80"/>
      <x:c r="I1" s="6"/>
      <x:c r="J1" s="6"/>
    </x:row>
    <x:row r="2" ht="25.5" customHeight="1">
      <x:c r="A2" s="57"/>
      <x:c r="B2" s="18"/>
      <x:c r="C2" s="18"/>
      <x:c r="D2" s="18"/>
      <x:c r="E2" s="18"/>
      <x:c r="F2" s="18"/>
      <x:c r="G2" s="18"/>
      <x:c r="H2" s="81"/>
      <x:c r="I2" s="6"/>
      <x:c r="J2" s="6"/>
    </x:row>
    <x:row r="3" ht="19.5" customHeight="1">
      <x:c r="A3" s="58" t="str">
        <x:v>Review which regions are rollout-ready and where compliance is slipping.</x:v>
      </x:c>
      <x:c r="B3" s="26"/>
      <x:c r="C3" s="26"/>
      <x:c r="D3" s="26"/>
      <x:c r="E3" s="26"/>
      <x:c r="F3" s="26"/>
      <x:c r="G3" s="26"/>
      <x:c r="H3" s="82"/>
      <x:c r="I3" s="6"/>
      <x:c r="J3" s="6"/>
    </x:row>
    <x:row r="4" ht="19.5" customHeight="1">
      <x:c r="A4" s="59"/>
      <x:c r="B4" s="38"/>
      <x:c r="C4" s="38"/>
      <x:c r="D4" s="38"/>
      <x:c r="E4" s="38"/>
      <x:c r="F4" s="38"/>
      <x:c r="G4" s="38"/>
      <x:c r="H4" s="83"/>
      <x:c r="I4" s="6"/>
      <x:c r="J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</x:row>
    <x:row r="8" ht="18" customHeight="1">
      <x:c r="A8" s="588" t="str">
        <x:v>Rollout summary</x:v>
      </x:c>
      <x:c r="B8" s="588" t="str">
        <x:v>Value</x:v>
      </x:c>
      <x:c r="C8" s="6"/>
      <x:c r="D8" s="6"/>
      <x:c r="E8" s="6"/>
      <x:c r="F8" s="6"/>
      <x:c r="G8" s="6"/>
      <x:c r="H8" s="6"/>
      <x:c r="I8" s="6"/>
      <x:c r="J8" s="6"/>
    </x:row>
    <x:row r="9" ht="22.5" customHeight="1">
      <x:c r="A9" s="589" t="str">
        <x:v>Store count</x:v>
      </x:c>
      <x:c r="B9" s="590" t="n">
        <x:f>COUNTA(Stores!A8:A13)</x:f>
        <x:v>5</x:v>
      </x:c>
      <x:c r="C9" s="6"/>
      <x:c r="D9" s="6"/>
      <x:c r="E9" s="6"/>
      <x:c r="F9" s="6"/>
      <x:c r="G9" s="6"/>
      <x:c r="H9" s="6"/>
      <x:c r="I9" s="6"/>
      <x:c r="J9" s="6"/>
    </x:row>
    <x:row r="10" ht="22.5" customHeight="1">
      <x:c r="A10" s="589" t="str">
        <x:v>Average compliance</x:v>
      </x:c>
      <x:c r="B10" s="591" t="n">
        <x:f>AVERAGE(Stores!G8:G13)</x:f>
        <x:v>0.738</x:v>
      </x:c>
      <x:c r="C10" s="6"/>
      <x:c r="D10" s="6"/>
      <x:c r="E10" s="6"/>
      <x:c r="F10" s="6"/>
      <x:c r="G10" s="6"/>
      <x:c r="H10" s="6"/>
      <x:c r="I10" s="6"/>
      <x:c r="J10" s="6"/>
    </x:row>
    <x:row r="11" ht="22.5" customHeight="1">
      <x:c r="A11" s="589" t="str">
        <x:v>Stores ready or live</x:v>
      </x:c>
      <x:c r="B11" s="590" t="n">
        <x:f>COUNTIF(Stores!I8:I13,"Live")+COUNTIF(Stores!I8:I13,"Ready")+COUNTIF(Stores!I8:I13,"Complete")</x:f>
        <x:v>3</x:v>
      </x:c>
      <x:c r="C11" s="6"/>
      <x:c r="D11" s="6"/>
      <x:c r="E11" s="6"/>
      <x:c r="F11" s="6"/>
      <x:c r="G11" s="6"/>
      <x:c r="H11" s="6"/>
      <x:c r="I11" s="6"/>
      <x:c r="J11" s="6"/>
    </x:row>
    <x:row r="12" ht="22.5" customHeight="1">
      <x:c r="A12" s="589" t="str">
        <x:v>Blocked or in-progress rollouts</x:v>
      </x:c>
      <x:c r="B12" s="590" t="n">
        <x:f>COUNTIF(Campaign_Rollout!G8:G13,"Blocked")+COUNTIF(Campaign_Rollout!G8:G13,"In progress")</x:f>
        <x:v>1</x:v>
      </x:c>
      <x:c r="C12" s="6"/>
      <x:c r="D12" s="6"/>
      <x:c r="E12" s="6"/>
      <x:c r="F12" s="6"/>
      <x:c r="G12" s="6"/>
      <x:c r="H12" s="6"/>
      <x:c r="I12" s="6"/>
      <x:c r="J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</x:row>
    <x:row r="15" ht="18" customHeight="1">
      <x:c r="A15" s="386" t="str">
        <x:v>Region</x:v>
      </x:c>
      <x:c r="B15" s="386" t="str">
        <x:v>Average compliance</x:v>
      </x:c>
      <x:c r="C15" s="6"/>
      <x:c r="D15" s="6"/>
      <x:c r="E15" s="6"/>
      <x:c r="F15" s="6"/>
      <x:c r="G15" s="6"/>
      <x:c r="H15" s="6"/>
      <x:c r="I15" s="6"/>
      <x:c r="J15" s="6"/>
    </x:row>
    <x:row r="16" ht="19.5" customHeight="1">
      <x:c r="A16" s="387" t="str">
        <x:v>Dubai</x:v>
      </x:c>
      <x:c r="B16" s="624" t="n">
        <x:f>IFERROR(AVERAGEIF(Stores!C8:C13,"Dubai",Stores!G8:G13),"")</x:f>
        <x:v>0.87</x:v>
      </x:c>
      <x:c r="C16" s="6"/>
      <x:c r="D16" s="6"/>
      <x:c r="E16" s="6"/>
      <x:c r="F16" s="6"/>
      <x:c r="G16" s="6"/>
      <x:c r="H16" s="6"/>
      <x:c r="I16" s="6"/>
      <x:c r="J16" s="6"/>
    </x:row>
    <x:row r="17" ht="19.5" customHeight="1">
      <x:c r="A17" s="387" t="str">
        <x:v>Abu Dhabi</x:v>
      </x:c>
      <x:c r="B17" s="624" t="n">
        <x:f>IFERROR(AVERAGEIF(Stores!C8:C13,"Abu Dhabi",Stores!G8:G13),"")</x:f>
        <x:v>0.74</x:v>
      </x:c>
      <x:c r="C17" s="6"/>
      <x:c r="D17" s="6"/>
      <x:c r="E17" s="6"/>
      <x:c r="F17" s="6"/>
      <x:c r="G17" s="6"/>
      <x:c r="H17" s="6"/>
      <x:c r="I17" s="6"/>
      <x:c r="J17" s="6"/>
    </x:row>
    <x:row r="18" ht="19.5" customHeight="1">
      <x:c r="A18" s="387" t="str">
        <x:v>Sharjah</x:v>
      </x:c>
      <x:c r="B18" s="624" t="n">
        <x:f>IFERROR(AVERAGEIF(Stores!C8:C13,"Sharjah",Stores!G8:G13),"")</x:f>
        <x:v>0.58</x:v>
      </x:c>
      <x:c r="C18" s="6"/>
      <x:c r="D18" s="6"/>
      <x:c r="E18" s="6"/>
      <x:c r="F18" s="6"/>
      <x:c r="G18" s="6"/>
      <x:c r="H18" s="6"/>
      <x:c r="I18" s="6"/>
      <x:c r="J18" s="6"/>
    </x:row>
    <x:row r="19" ht="19.5" customHeight="1">
      <x:c r="A19" s="387" t="str">
        <x:v>Doha</x:v>
      </x:c>
      <x:c r="B19" s="624" t="n">
        <x:f>IFERROR(AVERAGEIF(Stores!C8:C13,"Doha",Stores!G8:G13),"")</x:f>
        <x:v>0.81</x:v>
      </x:c>
      <x:c r="C19" s="6"/>
      <x:c r="D19" s="6"/>
      <x:c r="E19" s="6"/>
      <x:c r="F19" s="6"/>
      <x:c r="G19" s="6"/>
      <x:c r="H19" s="6"/>
      <x:c r="I19" s="6"/>
      <x:c r="J19" s="6"/>
    </x:row>
    <x:row r="20" ht="19.5" customHeight="1">
      <x:c r="A20" s="387" t="str">
        <x:v>Riyadh</x:v>
      </x:c>
      <x:c r="B20" s="624" t="n">
        <x:f>IFERROR(AVERAGEIF(Stores!C8:C13,"Riyadh",Stores!G8:G13),"")</x:f>
        <x:v>0.69</x:v>
      </x:c>
      <x:c r="C20" s="6"/>
      <x:c r="D20" s="6"/>
      <x:c r="E20" s="6"/>
      <x:c r="F20" s="6"/>
      <x:c r="G20" s="6"/>
      <x:c r="H20" s="6"/>
      <x:c r="I20" s="6"/>
      <x:c r="J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</x:row>
  </x:sheetData>
  <x:mergeCells>
    <x:mergeCell ref="A1:H2"/>
    <x:mergeCell ref="A3:H4"/>
  </x:mergeCells>
  <x:pageMargins left="0.7" right="0.7" top="0.75" bottom="0.75" header="0.3" footer="0.3"/>
  <x:drawing xmlns:r="http://schemas.openxmlformats.org/officeDocument/2006/relationships" r:id="R477fffe1e52d40f4"/>
</x:worksheet>
</file>