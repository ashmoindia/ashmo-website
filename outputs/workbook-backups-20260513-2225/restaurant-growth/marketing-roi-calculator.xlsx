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a245e56a5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67cc869783f0450d"/>
    <x:sheet xmlns:r="http://schemas.openxmlformats.org/officeDocument/2006/relationships" name="Campaigns" sheetId="2" r:id="R1b5826363cd548b0"/>
    <x:sheet xmlns:r="http://schemas.openxmlformats.org/officeDocument/2006/relationships" name="Dashboard" sheetId="3" r:id="R81a270fb16a5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AED&quot; #,##0;[Red]-&quot;AED&quot; #,##0"/>
    <x:numFmt numFmtId="201" formatCode="#,##0"/>
    <x:numFmt numFmtId="202" formatCode="0.0%"/>
    <x:numFmt numFmtId="203" formatCode="0.00%"/>
    <x:numFmt numFmtId="204" formatCode="&quot;AED&quot; #,##0.00;[Red]-&quot;AED&quot; #,##0.00"/>
    <x:numFmt numFmtId="205" formatCode="#,##0.00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2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0" fontId="2" fillId="6" borderId="184" xfId="0" applyNumberFormat="1" applyFont="1" applyFill="1" applyBorder="1" applyAlignment="1">
      <x:alignment horizontal="right" wrapText="1"/>
    </x:xf>
    <x:xf numFmtId="200" fontId="2" fillId="6" borderId="185" xfId="0" applyNumberFormat="1" applyFont="1" applyFill="1" applyBorder="1" applyAlignment="1">
      <x:alignment horizontal="right" wrapText="1"/>
    </x:xf>
    <x:xf numFmtId="201" fontId="2" fillId="6" borderId="184" xfId="0" applyNumberFormat="1" applyFont="1" applyFill="1" applyBorder="1" applyAlignment="1">
      <x:alignment horizontal="right" wrapText="1"/>
    </x:xf>
    <x:xf numFmtId="201" fontId="2" fillId="6" borderId="185" xfId="0" applyNumberFormat="1" applyFont="1" applyFill="1" applyBorder="1" applyAlignment="1">
      <x:alignment horizontal="right" wrapText="1"/>
    </x:xf>
    <x:xf numFmtId="202" fontId="2" fillId="6" borderId="184" xfId="0" applyNumberFormat="1" applyFont="1" applyFill="1" applyBorder="1" applyAlignment="1">
      <x:alignment horizontal="right" wrapText="1"/>
    </x:xf>
    <x:xf numFmtId="202" fontId="2" fillId="6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0" fontId="2" fillId="7" borderId="184" xfId="0" applyNumberFormat="1" applyFont="1" applyFill="1" applyBorder="1" applyAlignment="1">
      <x:alignment horizontal="right" wrapText="1"/>
    </x:xf>
    <x:xf numFmtId="200" fontId="2" fillId="7" borderId="185" xfId="0" applyNumberFormat="1" applyFont="1" applyFill="1" applyBorder="1" applyAlignment="1">
      <x:alignment horizontal="right" wrapText="1"/>
    </x:xf>
    <x:xf numFmtId="203" fontId="2" fillId="7" borderId="184" xfId="0" applyNumberFormat="1" applyFont="1" applyFill="1" applyBorder="1" applyAlignment="1">
      <x:alignment horizontal="right" wrapText="1"/>
    </x:xf>
    <x:xf numFmtId="203" fontId="2" fillId="7" borderId="185" xfId="0" applyNumberFormat="1" applyFont="1" applyFill="1" applyBorder="1" applyAlignment="1">
      <x:alignment horizontal="right" wrapText="1"/>
    </x:xf>
    <x:xf numFmtId="204" fontId="2" fillId="7" borderId="184" xfId="0" applyNumberFormat="1" applyFont="1" applyFill="1" applyBorder="1" applyAlignment="1">
      <x:alignment horizontal="right" wrapText="1"/>
    </x:xf>
    <x:xf numFmtId="204" fontId="2" fillId="7" borderId="185" xfId="0" applyNumberFormat="1" applyFont="1" applyFill="1" applyBorder="1" applyAlignment="1">
      <x:alignment horizontal="right" wrapText="1"/>
    </x:xf>
    <x:xf numFmtId="202" fontId="2" fillId="7" borderId="184" xfId="0" applyNumberFormat="1" applyFont="1" applyFill="1" applyBorder="1" applyAlignment="1">
      <x:alignment horizontal="right" wrapText="1"/>
    </x:xf>
    <x:xf numFmtId="202" fontId="2" fillId="7" borderId="185" xfId="0" applyNumberFormat="1" applyFont="1" applyFill="1" applyBorder="1" applyAlignment="1">
      <x:alignment horizontal="right" wrapText="1"/>
    </x:xf>
    <x:xf numFmtId="205" fontId="2" fillId="7" borderId="184" xfId="0" applyNumberFormat="1" applyFont="1" applyFill="1" applyBorder="1" applyAlignment="1">
      <x:alignment horizontal="right" wrapText="1"/>
    </x:xf>
    <x:xf numFmtId="205" fontId="2" fillId="7" borderId="185" xfId="0" applyNumberFormat="1" applyFont="1" applyFill="1" applyBorder="1" applyAlignment="1">
      <x:alignment horizontal="right" wrapText="1"/>
    </x:xf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0" fontId="2" fillId="5" borderId="0" xfId="0" applyNumberFormat="1" applyFont="1" applyFill="1" applyBorder="1"/>
    <x:xf numFmtId="202" fontId="2" fillId="5" borderId="0" xfId="0" applyNumberFormat="1" applyFont="1" applyFill="1" applyBorder="1"/>
    <x:xf numFmtId="200" fontId="2" fillId="5" borderId="1" xfId="0" applyNumberFormat="1" applyFont="1" applyFill="1" applyBorder="1"/>
    <x:xf numFmtId="202" fontId="2" fillId="5" borderId="1" xfId="0" applyNumberFormat="1" applyFont="1" applyFill="1" applyBorder="1"/>
    <x:xf numFmtId="200" fontId="2" fillId="7" borderId="0" xfId="0" applyNumberFormat="1" applyFont="1" applyFill="1" applyBorder="1"/>
    <x:xf numFmtId="202" fontId="2" fillId="7" borderId="0" xfId="0" applyNumberFormat="1" applyFont="1" applyFill="1" applyBorder="1"/>
    <x:xf numFmtId="200" fontId="2" fillId="7" borderId="1" xfId="0" applyNumberFormat="1" applyFont="1" applyFill="1" applyBorder="1"/>
    <x:xf numFmtId="202" fontId="2" fillId="7" borderId="1" xfId="0" applyNumberFormat="1" applyFont="1" applyFill="1" applyBorder="1"/>
    <x:xf numFmtId="200" fontId="7" fillId="7" borderId="0" xfId="0" applyNumberFormat="1" applyFont="1" applyFill="1" applyBorder="1"/>
    <x:xf numFmtId="202" fontId="7" fillId="7" borderId="0" xfId="0" applyNumberFormat="1" applyFont="1" applyFill="1" applyBorder="1"/>
    <x:xf numFmtId="200" fontId="7" fillId="7" borderId="1" xfId="0" applyNumberFormat="1" applyFont="1" applyFill="1" applyBorder="1"/>
    <x:xf numFmtId="202" fontId="7" fillId="7" borderId="1" xfId="0" applyNumberFormat="1" applyFont="1" applyFill="1" applyBorder="1"/>
    <x:xf numFmtId="200" fontId="10" fillId="7" borderId="0" xfId="0" applyNumberFormat="1" applyFont="1" applyFill="1" applyBorder="1"/>
    <x:xf numFmtId="202" fontId="10" fillId="7" borderId="0" xfId="0" applyNumberFormat="1" applyFont="1" applyFill="1" applyBorder="1"/>
    <x:xf numFmtId="200" fontId="10" fillId="7" borderId="1" xfId="0" applyNumberFormat="1" applyFont="1" applyFill="1" applyBorder="1"/>
    <x:xf numFmtId="202" fontId="10" fillId="7" borderId="1" xfId="0" applyNumberFormat="1" applyFont="1" applyFill="1" applyBorder="1"/>
    <x:xf numFmtId="200" fontId="10" fillId="7" borderId="0" xfId="0" applyNumberFormat="1" applyFont="1" applyFill="1" applyBorder="1" applyAlignment="1">
      <x:alignment horizontal="right"/>
    </x:xf>
    <x:xf numFmtId="202" fontId="10" fillId="7" borderId="0" xfId="0" applyNumberFormat="1" applyFont="1" applyFill="1" applyBorder="1" applyAlignment="1">
      <x:alignment horizontal="right"/>
    </x:xf>
    <x:xf numFmtId="200" fontId="10" fillId="7" borderId="1" xfId="0" applyNumberFormat="1" applyFont="1" applyFill="1" applyBorder="1" applyAlignment="1">
      <x:alignment horizontal="right"/>
    </x:xf>
    <x:xf numFmtId="202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2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2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2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2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2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2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0" fontId="10" fillId="7" borderId="33" xfId="0" applyNumberFormat="1" applyFont="1" applyFill="1" applyBorder="1" applyAlignment="1">
      <x:alignment horizontal="right"/>
    </x:xf>
    <x:xf numFmtId="202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0" fontId="10" fillId="7" borderId="36" xfId="0" applyNumberFormat="1" applyFont="1" applyFill="1" applyBorder="1" applyAlignment="1">
      <x:alignment horizontal="right"/>
    </x:xf>
    <x:xf numFmtId="202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0" fontId="10" fillId="7" borderId="39" xfId="0" applyNumberFormat="1" applyFont="1" applyFill="1" applyBorder="1" applyAlignment="1">
      <x:alignment horizontal="right"/>
    </x:xf>
    <x:xf numFmtId="202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0" fontId="10" fillId="7" borderId="42" xfId="0" applyNumberFormat="1" applyFont="1" applyFill="1" applyBorder="1" applyAlignment="1">
      <x:alignment horizontal="right"/>
    </x:xf>
    <x:xf numFmtId="202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0" fontId="10" fillId="7" borderId="45" xfId="0" applyNumberFormat="1" applyFont="1" applyFill="1" applyBorder="1" applyAlignment="1">
      <x:alignment horizontal="right"/>
    </x:xf>
    <x:xf numFmtId="202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0" fontId="10" fillId="7" borderId="48" xfId="0" applyNumberFormat="1" applyFont="1" applyFill="1" applyBorder="1" applyAlignment="1">
      <x:alignment horizontal="right"/>
    </x:xf>
    <x:xf numFmtId="202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0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2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0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2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0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2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0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2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0" fontId="10" fillId="7" borderId="66" xfId="0" applyNumberFormat="1" applyFont="1" applyFill="1" applyBorder="1" applyAlignment="1">
      <x:alignment horizontal="right"/>
    </x:xf>
    <x:xf numFmtId="202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0" fontId="10" fillId="7" borderId="67" xfId="0" applyNumberFormat="1" applyFont="1" applyFill="1" applyBorder="1" applyAlignment="1">
      <x:alignment horizontal="right"/>
    </x:xf>
    <x:xf numFmtId="202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0" fontId="10" fillId="7" borderId="177" xfId="0" applyNumberFormat="1" applyFont="1" applyFill="1" applyBorder="1" applyAlignment="1">
      <x:alignment horizontal="right"/>
    </x:xf>
    <x:xf numFmtId="202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0" fontId="10" fillId="7" borderId="179" xfId="0" applyNumberFormat="1" applyFont="1" applyFill="1" applyBorder="1" applyAlignment="1">
      <x:alignment horizontal="right"/>
    </x:xf>
    <x:xf numFmtId="202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0" fontId="10" fillId="7" borderId="181" xfId="0" applyNumberFormat="1" applyFont="1" applyFill="1" applyBorder="1" applyAlignment="1">
      <x:alignment horizontal="right"/>
    </x:xf>
    <x:xf numFmtId="202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0" fontId="10" fillId="7" borderId="183" xfId="0" applyNumberFormat="1" applyFont="1" applyFill="1" applyBorder="1" applyAlignment="1">
      <x:alignment horizontal="right"/>
    </x:xf>
    <x:xf numFmtId="202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0" fontId="10" fillId="7" borderId="184" xfId="0" applyNumberFormat="1" applyFont="1" applyFill="1" applyBorder="1" applyAlignment="1">
      <x:alignment horizontal="right"/>
    </x:xf>
    <x:xf numFmtId="202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0" fontId="10" fillId="7" borderId="185" xfId="0" applyNumberFormat="1" applyFont="1" applyFill="1" applyBorder="1" applyAlignment="1">
      <x:alignment horizontal="right"/>
    </x:xf>
    <x:xf numFmtId="202" fontId="10" fillId="7" borderId="185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0f78aeac94aee" /><Relationship Type="http://schemas.openxmlformats.org/officeDocument/2006/relationships/theme" Target="/xl/theme/theme1.xml" Id="R1f1d30162a314618" /><Relationship Type="http://schemas.openxmlformats.org/officeDocument/2006/relationships/sharedStrings" Target="/xl/sharedStrings.xml" Id="R3f50c55a40434479" /><Relationship Type="http://schemas.openxmlformats.org/officeDocument/2006/relationships/worksheet" Target="/xl/worksheets/sheet1.xml" Id="R67cc869783f0450d" /><Relationship Type="http://schemas.openxmlformats.org/officeDocument/2006/relationships/worksheet" Target="/xl/worksheets/sheet2.xml" Id="R1b5826363cd548b0" /><Relationship Type="http://schemas.openxmlformats.org/officeDocument/2006/relationships/worksheet" Target="/xl/worksheets/sheet3.xml" Id="R81a270fb16a547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fcfa67da3a4ba8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Spend vs gross profit by campaign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Spend</c:v>
          </c:tx>
          <c:spPr>
            <a:solidFill xmlns:a="http://schemas.openxmlformats.org/drawingml/2006/main">
              <a:srgbClr val="EA580C"/>
            </a:solidFill>
            <a:ln xmlns:a="http://schemas.openxmlformats.org/drawingml/2006/main">
              <a:solidFill>
                <a:srgbClr val="EA580C"/>
              </a:solidFill>
            </a:ln>
          </c:spPr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'Dashboard'!$B$16:$B$21</c:f>
              <c:numCache>
                <c:formatCode>"AED" #,##0;[Red]-"AED" 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'Dashboard'!$C$16:$C$21</c:f>
              <c:numCache>
                <c:formatCode>"AED" #,##0;[Red]-"AED"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7</xdr:row>
      <xdr:rowOff>0</xdr:rowOff>
    </xdr:from>
    <xdr:ext cx="6096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fcfa67da3a4ba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157853c528f45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Marketing ROI Calculator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Review campaign efficiency through spend, acquisition, revenue, and gross-profit logic instead of vanity reporting.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Growth leads, founders, performance marketers, operator-analysts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campaign review sheet that connects spend to revenue quality, customer cost, and blended MROI.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Keep gross profit visible so revenue-heavy but margin-poor campaigns are questioned early.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Compare CAC and MROI side by side rather than defaulting to one metric.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Use the dashboard to review blended performance across campaigns.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Campaigns</x:v>
      </x:c>
      <x:c r="B26" s="387" t="str">
        <x:v>Campaign-level performance inputs and calculated efficiency metrics.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Dashboard</x:v>
      </x:c>
      <x:c r="B27" s="387" t="str">
        <x:v>Blended view of spend, revenue, CAC, and MROI.</x:v>
      </x:c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30.709999084472656" hidden="0" customWidth="1"/>
    <x:col min="3" max="3" width="15" hidden="0" customWidth="1"/>
    <x:col min="4" max="4" width="15" hidden="0" customWidth="1"/>
    <x:col min="5" max="5" width="12.859999656677246" hidden="0" customWidth="1"/>
    <x:col min="6" max="6" width="15" hidden="0" customWidth="1"/>
    <x:col min="7" max="7" width="15.710000038146973" hidden="0" customWidth="1"/>
    <x:col min="8" max="8" width="19.290000915527344" hidden="0" customWidth="1"/>
    <x:col min="9" max="9" width="15" hidden="0" customWidth="1"/>
    <x:col min="10" max="10" width="16.43000030517578" hidden="0" customWidth="1"/>
    <x:col min="11" max="11" width="12.140000343322754" hidden="0" customWidth="1"/>
    <x:col min="12" max="12" width="13.569999694824219" hidden="0" customWidth="1"/>
    <x:col min="13" max="13" width="13.569999694824219" hidden="0" customWidth="1"/>
    <x:col min="14" max="14" width="13.569999694824219" hidden="0" customWidth="1"/>
    <x:col min="15" max="15" width="12.140000343322754" hidden="0" customWidth="1"/>
    <x:col min="16" max="16" width="12.140000343322754" hidden="0" customWidth="1"/>
  </x:cols>
  <x:sheetData>
    <x:row r="1" ht="25.5" customHeight="1">
      <x:c r="A1" s="56" t="str">
        <x:v>Campaign Inputs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80"/>
      <x:c r="Q1" s="6"/>
      <x:c r="R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81"/>
      <x:c r="Q2" s="6"/>
      <x:c r="R2" s="6"/>
    </x:row>
    <x:row r="3" ht="19.5" customHeight="1">
      <x:c r="A3" s="58" t="str">
        <x:v>Enter one line per campaign, ad set, or test cell you want to compare.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82"/>
      <x:c r="Q3" s="6"/>
      <x:c r="R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83"/>
      <x:c r="Q4" s="6"/>
      <x:c r="R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</x:row>
    <x:row r="6">
      <x:c r="A6" s="108" t="str">
        <x:v>How to use this tab</x:v>
      </x:c>
      <x:c r="B6" s="102"/>
      <x:c r="C6" s="102"/>
      <x:c r="D6" s="102"/>
      <x:c r="E6" s="102"/>
      <x:c r="F6" s="102"/>
      <x:c r="G6" s="102"/>
      <x:c r="H6" s="102"/>
      <x:c r="I6" s="102"/>
      <x:c r="J6" s="114"/>
      <x:c r="K6" s="6"/>
      <x:c r="L6" s="6"/>
      <x:c r="M6" s="6"/>
      <x:c r="N6" s="6"/>
      <x:c r="O6" s="6"/>
      <x:c r="P6" s="6"/>
      <x:c r="Q6" s="6"/>
      <x:c r="R6" s="6"/>
    </x:row>
    <x:row r="7" ht="19.5" customHeight="1">
      <x:c r="A7" s="178" t="str">
        <x:v>1. Use influenced revenue when available. If not, use your best attributable revenue estimate.</x:v>
      </x:c>
      <x:c r="B7" s="178"/>
      <x:c r="C7" s="178"/>
      <x:c r="D7" s="178"/>
      <x:c r="E7" s="178"/>
      <x:c r="F7" s="178"/>
      <x:c r="G7" s="178"/>
      <x:c r="H7" s="178"/>
      <x:c r="I7" s="178"/>
      <x:c r="J7" s="178"/>
      <x:c r="K7" s="6"/>
      <x:c r="L7" s="6"/>
      <x:c r="M7" s="6"/>
      <x:c r="N7" s="6"/>
      <x:c r="O7" s="6"/>
      <x:c r="P7" s="6"/>
      <x:c r="Q7" s="6"/>
      <x:c r="R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</x:row>
    <x:row r="10" ht="18" customHeight="1">
      <x:c r="A10" s="386" t="str">
        <x:v>Channel</x:v>
      </x:c>
      <x:c r="B10" s="386" t="str">
        <x:v>Campaign</x:v>
      </x:c>
      <x:c r="C10" s="386" t="str">
        <x:v>Spend</x:v>
      </x:c>
      <x:c r="D10" s="386" t="str">
        <x:v>Impressions</x:v>
      </x:c>
      <x:c r="E10" s="386" t="str">
        <x:v>Clicks</x:v>
      </x:c>
      <x:c r="F10" s="386" t="str">
        <x:v>Conversions</x:v>
      </x:c>
      <x:c r="G10" s="386" t="str">
        <x:v>New customers</x:v>
      </x:c>
      <x:c r="H10" s="386" t="str">
        <x:v>Influenced revenue</x:v>
      </x:c>
      <x:c r="I10" s="386" t="str">
        <x:v>Gross margin %</x:v>
      </x:c>
      <x:c r="J10" s="386" t="str">
        <x:v>Gross profit</x:v>
      </x:c>
      <x:c r="K10" s="386" t="str">
        <x:v>CTR</x:v>
      </x:c>
      <x:c r="L10" s="386" t="str">
        <x:v>CPC</x:v>
      </x:c>
      <x:c r="M10" s="386" t="str">
        <x:v>CPA</x:v>
      </x:c>
      <x:c r="N10" s="386" t="str">
        <x:v>CAC</x:v>
      </x:c>
      <x:c r="O10" s="386" t="str">
        <x:v>MROI</x:v>
      </x:c>
      <x:c r="P10" s="386" t="str">
        <x:v>ROAS</x:v>
      </x:c>
      <x:c r="Q10" s="6"/>
      <x:c r="R10" s="6"/>
    </x:row>
    <x:row r="11" ht="19.5" customHeight="1">
      <x:c r="A11" s="464" t="str">
        <x:v>Meta</x:v>
      </x:c>
      <x:c r="B11" s="464" t="str">
        <x:v>Breakfast commuter lookalike</x:v>
      </x:c>
      <x:c r="C11" s="468" t="n">
        <x:v>6500</x:v>
      </x:c>
      <x:c r="D11" s="470" t="n">
        <x:v>420000</x:v>
      </x:c>
      <x:c r="E11" s="470" t="n">
        <x:v>8200</x:v>
      </x:c>
      <x:c r="F11" s="470" t="n">
        <x:v>520</x:v>
      </x:c>
      <x:c r="G11" s="470" t="n">
        <x:v>210</x:v>
      </x:c>
      <x:c r="H11" s="468" t="n">
        <x:v>28600</x:v>
      </x:c>
      <x:c r="I11" s="472" t="n">
        <x:v>0.67</x:v>
      </x:c>
      <x:c r="J11" s="476" t="n">
        <x:f>IF(OR(H11=0,I11=0),"",H11*I11)</x:f>
        <x:v>19162</x:v>
      </x:c>
      <x:c r="K11" s="478" t="n">
        <x:f>IF(D11=0,"",E11/D11)</x:f>
        <x:v>0.019523809523809523</x:v>
      </x:c>
      <x:c r="L11" s="480" t="n">
        <x:f>IF(E11=0,"",C11/E11)</x:f>
        <x:v>0.7926829268292683</x:v>
      </x:c>
      <x:c r="M11" s="476" t="n">
        <x:f>IF(F11=0,"",C11/F11)</x:f>
        <x:v>12.5</x:v>
      </x:c>
      <x:c r="N11" s="476" t="n">
        <x:f>IF(G11=0,"",C11/G11)</x:f>
        <x:v>30.952380952380953</x:v>
      </x:c>
      <x:c r="O11" s="482" t="n">
        <x:f>IF(C11=0,"",(J11-C11)/C11)</x:f>
        <x:v>1.948</x:v>
      </x:c>
      <x:c r="P11" s="484" t="n">
        <x:f>IF(C11=0,"",H11/C11)</x:f>
        <x:v>4.4</x:v>
      </x:c>
      <x:c r="Q11" s="6"/>
      <x:c r="R11" s="6"/>
    </x:row>
    <x:row r="12" ht="19.5" customHeight="1">
      <x:c r="A12" s="464" t="str">
        <x:v>Google Search</x:v>
      </x:c>
      <x:c r="B12" s="464" t="str">
        <x:v>Near me breakfast intent</x:v>
      </x:c>
      <x:c r="C12" s="468" t="n">
        <x:v>3800</x:v>
      </x:c>
      <x:c r="D12" s="470" t="n">
        <x:v>145000</x:v>
      </x:c>
      <x:c r="E12" s="470" t="n">
        <x:v>4900</x:v>
      </x:c>
      <x:c r="F12" s="470" t="n">
        <x:v>410</x:v>
      </x:c>
      <x:c r="G12" s="470" t="n">
        <x:v>180</x:v>
      </x:c>
      <x:c r="H12" s="468" t="n">
        <x:v>24800</x:v>
      </x:c>
      <x:c r="I12" s="472" t="n">
        <x:v>0.71</x:v>
      </x:c>
      <x:c r="J12" s="476" t="n">
        <x:f>IF(OR(H12=0,I12=0),"",H12*I12)</x:f>
        <x:v>17608</x:v>
      </x:c>
      <x:c r="K12" s="478" t="n">
        <x:f>IF(D12=0,"",E12/D12)</x:f>
        <x:v>0.03379310344827586</x:v>
      </x:c>
      <x:c r="L12" s="480" t="n">
        <x:f>IF(E12=0,"",C12/E12)</x:f>
        <x:v>0.7755102040816326</x:v>
      </x:c>
      <x:c r="M12" s="476" t="n">
        <x:f>IF(F12=0,"",C12/F12)</x:f>
        <x:v>9.268292682926829</x:v>
      </x:c>
      <x:c r="N12" s="476" t="n">
        <x:f>IF(G12=0,"",C12/G12)</x:f>
        <x:v>21.11111111111111</x:v>
      </x:c>
      <x:c r="O12" s="482" t="n">
        <x:f>IF(C12=0,"",(J12-C12)/C12)</x:f>
        <x:v>3.6336842105263156</x:v>
      </x:c>
      <x:c r="P12" s="484" t="n">
        <x:f>IF(C12=0,"",H12/C12)</x:f>
        <x:v>6.526315789473684</x:v>
      </x:c>
      <x:c r="Q12" s="6"/>
      <x:c r="R12" s="6"/>
    </x:row>
    <x:row r="13" ht="19.5" customHeight="1">
      <x:c r="A13" s="464" t="str">
        <x:v>Google Maps</x:v>
      </x:c>
      <x:c r="B13" s="464" t="str">
        <x:v>Store visit campaign</x:v>
      </x:c>
      <x:c r="C13" s="468" t="n">
        <x:v>2200</x:v>
      </x:c>
      <x:c r="D13" s="470" t="n">
        <x:v>84000</x:v>
      </x:c>
      <x:c r="E13" s="470" t="n">
        <x:v>1900</x:v>
      </x:c>
      <x:c r="F13" s="470" t="n">
        <x:v>160</x:v>
      </x:c>
      <x:c r="G13" s="470" t="n">
        <x:v>96</x:v>
      </x:c>
      <x:c r="H13" s="468" t="n">
        <x:v>11200</x:v>
      </x:c>
      <x:c r="I13" s="472" t="n">
        <x:v>0.68</x:v>
      </x:c>
      <x:c r="J13" s="476" t="n">
        <x:f>IF(OR(H13=0,I13=0),"",H13*I13)</x:f>
        <x:v>7616.000000000001</x:v>
      </x:c>
      <x:c r="K13" s="478" t="n">
        <x:f>IF(D13=0,"",E13/D13)</x:f>
        <x:v>0.02261904761904762</x:v>
      </x:c>
      <x:c r="L13" s="480" t="n">
        <x:f>IF(E13=0,"",C13/E13)</x:f>
        <x:v>1.1578947368421053</x:v>
      </x:c>
      <x:c r="M13" s="476" t="n">
        <x:f>IF(F13=0,"",C13/F13)</x:f>
        <x:v>13.75</x:v>
      </x:c>
      <x:c r="N13" s="476" t="n">
        <x:f>IF(G13=0,"",C13/G13)</x:f>
        <x:v>22.916666666666668</x:v>
      </x:c>
      <x:c r="O13" s="482" t="n">
        <x:f>IF(C13=0,"",(J13-C13)/C13)</x:f>
        <x:v>2.4618181818181823</x:v>
      </x:c>
      <x:c r="P13" s="484" t="n">
        <x:f>IF(C13=0,"",H13/C13)</x:f>
        <x:v>5.090909090909091</x:v>
      </x:c>
      <x:c r="Q13" s="6"/>
      <x:c r="R13" s="6"/>
    </x:row>
    <x:row r="14" ht="19.5" customHeight="1">
      <x:c r="A14" s="464" t="str">
        <x:v>TikTok</x:v>
      </x:c>
      <x:c r="B14" s="464" t="str">
        <x:v>Cold drinks creator cut</x:v>
      </x:c>
      <x:c r="C14" s="468" t="n">
        <x:v>4400</x:v>
      </x:c>
      <x:c r="D14" s="470" t="n">
        <x:v>390000</x:v>
      </x:c>
      <x:c r="E14" s="470" t="n">
        <x:v>6200</x:v>
      </x:c>
      <x:c r="F14" s="470" t="n">
        <x:v>340</x:v>
      </x:c>
      <x:c r="G14" s="470" t="n">
        <x:v>150</x:v>
      </x:c>
      <x:c r="H14" s="468" t="n">
        <x:v>19800</x:v>
      </x:c>
      <x:c r="I14" s="472" t="n">
        <x:v>0.64</x:v>
      </x:c>
      <x:c r="J14" s="476" t="n">
        <x:f>IF(OR(H14=0,I14=0),"",H14*I14)</x:f>
        <x:v>12672</x:v>
      </x:c>
      <x:c r="K14" s="478" t="n">
        <x:f>IF(D14=0,"",E14/D14)</x:f>
        <x:v>0.015897435897435898</x:v>
      </x:c>
      <x:c r="L14" s="480" t="n">
        <x:f>IF(E14=0,"",C14/E14)</x:f>
        <x:v>0.7096774193548387</x:v>
      </x:c>
      <x:c r="M14" s="476" t="n">
        <x:f>IF(F14=0,"",C14/F14)</x:f>
        <x:v>12.941176470588236</x:v>
      </x:c>
      <x:c r="N14" s="476" t="n">
        <x:f>IF(G14=0,"",C14/G14)</x:f>
        <x:v>29.333333333333332</x:v>
      </x:c>
      <x:c r="O14" s="482" t="n">
        <x:f>IF(C14=0,"",(J14-C14)/C14)</x:f>
        <x:v>1.88</x:v>
      </x:c>
      <x:c r="P14" s="484" t="n">
        <x:f>IF(C14=0,"",H14/C14)</x:f>
        <x:v>4.5</x:v>
      </x:c>
      <x:c r="Q14" s="6"/>
      <x:c r="R14" s="6"/>
    </x:row>
    <x:row r="15" ht="19.5" customHeight="1">
      <x:c r="A15" s="464" t="str">
        <x:v>Email</x:v>
      </x:c>
      <x:c r="B15" s="464" t="str">
        <x:v>VIP early access menu drop</x:v>
      </x:c>
      <x:c r="C15" s="468" t="n">
        <x:v>900</x:v>
      </x:c>
      <x:c r="D15" s="470" t="n">
        <x:v>28000</x:v>
      </x:c>
      <x:c r="E15" s="470" t="n">
        <x:v>2100</x:v>
      </x:c>
      <x:c r="F15" s="470" t="n">
        <x:v>260</x:v>
      </x:c>
      <x:c r="G15" s="470" t="n">
        <x:v>72</x:v>
      </x:c>
      <x:c r="H15" s="468" t="n">
        <x:v>15400</x:v>
      </x:c>
      <x:c r="I15" s="472" t="n">
        <x:v>0.8</x:v>
      </x:c>
      <x:c r="J15" s="476" t="n">
        <x:f>IF(OR(H15=0,I15=0),"",H15*I15)</x:f>
        <x:v>12320</x:v>
      </x:c>
      <x:c r="K15" s="478" t="n">
        <x:f>IF(D15=0,"",E15/D15)</x:f>
        <x:v>0.075</x:v>
      </x:c>
      <x:c r="L15" s="480" t="n">
        <x:f>IF(E15=0,"",C15/E15)</x:f>
        <x:v>0.42857142857142855</x:v>
      </x:c>
      <x:c r="M15" s="476" t="n">
        <x:f>IF(F15=0,"",C15/F15)</x:f>
        <x:v>3.4615384615384617</x:v>
      </x:c>
      <x:c r="N15" s="476" t="n">
        <x:f>IF(G15=0,"",C15/G15)</x:f>
        <x:v>12.5</x:v>
      </x:c>
      <x:c r="O15" s="482" t="n">
        <x:f>IF(C15=0,"",(J15-C15)/C15)</x:f>
        <x:v>12.688888888888888</x:v>
      </x:c>
      <x:c r="P15" s="484" t="n">
        <x:f>IF(C15=0,"",H15/C15)</x:f>
        <x:v>17.11111111111111</x:v>
      </x:c>
      <x:c r="Q15" s="6"/>
      <x:c r="R15" s="6"/>
    </x:row>
    <x:row r="16" ht="19.5" customHeight="1">
      <x:c r="A16" s="464" t="str">
        <x:v>WhatsApp</x:v>
      </x:c>
      <x:c r="B16" s="464" t="str">
        <x:v>Ramadan family bundle reminder</x:v>
      </x:c>
      <x:c r="C16" s="468" t="n">
        <x:v>1200</x:v>
      </x:c>
      <x:c r="D16" s="470" t="n">
        <x:v>24000</x:v>
      </x:c>
      <x:c r="E16" s="470" t="n">
        <x:v>1800</x:v>
      </x:c>
      <x:c r="F16" s="470" t="n">
        <x:v>290</x:v>
      </x:c>
      <x:c r="G16" s="470" t="n">
        <x:v>88</x:v>
      </x:c>
      <x:c r="H16" s="468" t="n">
        <x:v>17100</x:v>
      </x:c>
      <x:c r="I16" s="472" t="n">
        <x:v>0.66</x:v>
      </x:c>
      <x:c r="J16" s="476" t="n">
        <x:f>IF(OR(H16=0,I16=0),"",H16*I16)</x:f>
        <x:v>11286</x:v>
      </x:c>
      <x:c r="K16" s="478" t="n">
        <x:f>IF(D16=0,"",E16/D16)</x:f>
        <x:v>0.075</x:v>
      </x:c>
      <x:c r="L16" s="480" t="n">
        <x:f>IF(E16=0,"",C16/E16)</x:f>
        <x:v>0.6666666666666666</x:v>
      </x:c>
      <x:c r="M16" s="476" t="n">
        <x:f>IF(F16=0,"",C16/F16)</x:f>
        <x:v>4.137931034482759</x:v>
      </x:c>
      <x:c r="N16" s="476" t="n">
        <x:f>IF(G16=0,"",C16/G16)</x:f>
        <x:v>13.636363636363637</x:v>
      </x:c>
      <x:c r="O16" s="482" t="n">
        <x:f>IF(C16=0,"",(J16-C16)/C16)</x:f>
        <x:v>8.405</x:v>
      </x:c>
      <x:c r="P16" s="484" t="n">
        <x:f>IF(C16=0,"",H16/C16)</x:f>
        <x:v>14.25</x:v>
      </x:c>
      <x:c r="Q16" s="6"/>
      <x:c r="R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</x:row>
  </x:sheetData>
  <x:mergeCells>
    <x:mergeCell ref="A1:P2"/>
    <x:mergeCell ref="A3:P4"/>
    <x:mergeCell ref="A6:J6"/>
    <x:mergeCell ref="A7:J7"/>
  </x:mergeCells>
  <x:dataValidations count="8">
    <x:dataValidation type="list" allowBlank="1" showDropDown="0" sqref="A11:A16">
      <x:formula1>Instagram,Facebook,TikTok,Google,WhatsApp,Email,SMS,Push,In-store,Aggregator,Influencer,PR,OOH</x:formula1>
    </x:dataValidation>
    <x:dataValidation type="decimal" errorStyle="stop" operator="between" showErrorMessage="1" errorTitle="Invalid value" error="Enter a decimal between 0 and 500000." sqref="C11:C16">
      <x:formula1>0</x:formula1>
      <x:formula2>500000</x:formula2>
    </x:dataValidation>
    <x:dataValidation type="whole" errorStyle="stop" operator="between" showErrorMessage="1" errorTitle="Invalid value" error="Enter a whole number between 0 and 100000000." sqref="D11:D16">
      <x:formula1>0</x:formula1>
      <x:formula2>100000000</x:formula2>
    </x:dataValidation>
    <x:dataValidation type="whole" errorStyle="stop" operator="between" showErrorMessage="1" errorTitle="Invalid value" error="Enter a whole number between 0 and 5000000." sqref="E11:E16">
      <x:formula1>0</x:formula1>
      <x:formula2>5000000</x:formula2>
    </x:dataValidation>
    <x:dataValidation type="whole" errorStyle="stop" operator="between" showErrorMessage="1" errorTitle="Invalid value" error="Enter a whole number between 0 and 1000000." sqref="F11:F16">
      <x:formula1>0</x:formula1>
      <x:formula2>1000000</x:formula2>
    </x:dataValidation>
    <x:dataValidation type="whole" errorStyle="stop" operator="between" showErrorMessage="1" errorTitle="Invalid value" error="Enter a whole number between 0 and 500000." sqref="G11:G16">
      <x:formula1>0</x:formula1>
      <x:formula2>500000</x:formula2>
    </x:dataValidation>
    <x:dataValidation type="decimal" errorStyle="stop" operator="between" showErrorMessage="1" errorTitle="Invalid value" error="Enter a decimal between 0 and 2000000." sqref="H11:H16">
      <x:formula1>0</x:formula1>
      <x:formula2>2000000</x:formula2>
    </x:dataValidation>
    <x:dataValidation type="decimal" errorStyle="stop" operator="between" showErrorMessage="1" errorTitle="Invalid value" error="Enter a decimal between 0 and 1." sqref="I11:I16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17.860000610351562" hidden="0" customWidth="1"/>
    <x:col min="3" max="3" width="29.290000915527344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  <x:col min="9" max="9" width="19.290000915527344" hidden="0" customWidth="1"/>
    <x:col min="10" max="10" width="19.290000915527344" hidden="0" customWidth="1"/>
  </x:cols>
  <x:sheetData>
    <x:row r="1" ht="25.5" customHeight="1">
      <x:c r="A1" s="56" t="str">
        <x:v>Campaign ROI Dashboard</x:v>
      </x:c>
      <x:c r="B1" s="32"/>
      <x:c r="C1" s="32"/>
      <x:c r="D1" s="32"/>
      <x:c r="E1" s="32"/>
      <x:c r="F1" s="32"/>
      <x:c r="G1" s="32"/>
      <x:c r="H1" s="32"/>
      <x:c r="I1" s="32"/>
      <x:c r="J1" s="80"/>
      <x:c r="K1" s="6"/>
      <x:c r="L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81"/>
      <x:c r="K2" s="6"/>
      <x:c r="L2" s="6"/>
    </x:row>
    <x:row r="3" ht="19.5" customHeight="1">
      <x:c r="A3" s="58" t="str">
        <x:v>Use this view to compare whether each channel is earning the right to stay in the plan.</x:v>
      </x:c>
      <x:c r="B3" s="26"/>
      <x:c r="C3" s="26"/>
      <x:c r="D3" s="26"/>
      <x:c r="E3" s="26"/>
      <x:c r="F3" s="26"/>
      <x:c r="G3" s="26"/>
      <x:c r="H3" s="26"/>
      <x:c r="I3" s="26"/>
      <x:c r="J3" s="82"/>
      <x:c r="K3" s="6"/>
      <x:c r="L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83"/>
      <x:c r="K4" s="6"/>
      <x:c r="L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</x:row>
    <x:row r="8" ht="18" customHeight="1">
      <x:c r="A8" s="618" t="str">
        <x:v>Blended metrics</x:v>
      </x:c>
      <x:c r="B8" s="618" t="str">
        <x:v>Value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</x:row>
    <x:row r="9" ht="22.5" customHeight="1">
      <x:c r="A9" s="619" t="str">
        <x:v>Total spend</x:v>
      </x:c>
      <x:c r="B9" s="620" t="n">
        <x:f>SUM(Campaigns!C8:C13)</x:f>
        <x:v>12500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</x:row>
    <x:row r="10" ht="22.5" customHeight="1">
      <x:c r="A10" s="619" t="str">
        <x:v>Influenced revenue</x:v>
      </x:c>
      <x:c r="B10" s="620" t="n">
        <x:f>SUM(Campaigns!H8:H13)</x:f>
        <x:v>64600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 ht="22.5" customHeight="1">
      <x:c r="A11" s="619" t="str">
        <x:v>Blended CAC</x:v>
      </x:c>
      <x:c r="B11" s="620" t="n">
        <x:f>IF(SUM(Campaigns!G8:G13)=0,"",SUM(Campaigns!C8:C13)/SUM(Campaigns!G8:G13))</x:f>
        <x:v>25.720164609053498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</x:row>
    <x:row r="12" ht="22.5" customHeight="1">
      <x:c r="A12" s="619" t="str">
        <x:v>Blended MROI</x:v>
      </x:c>
      <x:c r="B12" s="621" t="n">
        <x:f>IF(SUM(Campaigns!C8:C13)=0,"",(SUM(Campaigns!J8:J13)-SUM(Campaigns!C8:C13))/SUM(Campaigns!C8:C13))</x:f>
        <x:v>2.55088</x:v>
      </x:c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 ht="18" customHeight="1">
      <x:c r="A15" s="386" t="str">
        <x:v>Campaign</x:v>
      </x:c>
      <x:c r="B15" s="386" t="str">
        <x:v>Spend</x:v>
      </x:c>
      <x:c r="C15" s="386" t="str">
        <x:v>Gross profit</x:v>
      </x:c>
      <x:c r="D15" s="6"/>
      <x:c r="E15" s="6"/>
      <x:c r="F15" s="6"/>
      <x:c r="G15" s="6"/>
      <x:c r="H15" s="6"/>
      <x:c r="I15" s="6"/>
      <x:c r="J15" s="6"/>
      <x:c r="K15" s="6"/>
      <x:c r="L15" s="6"/>
    </x:row>
    <x:row r="16" ht="19.5" customHeight="1">
      <x:c r="A16" s="387" t="n">
        <x:f>Campaigns!B8</x:f>
        <x:v>0</x:v>
      </x:c>
      <x:c r="B16" s="476" t="n">
        <x:f>Campaigns!C8</x:f>
        <x:v>0</x:v>
      </x:c>
      <x:c r="C16" s="476" t="n">
        <x:f>Campaigns!J8</x:f>
        <x:v>0</x:v>
      </x:c>
      <x:c r="D16" s="6"/>
      <x:c r="E16" s="6"/>
      <x:c r="F16" s="6"/>
      <x:c r="G16" s="6"/>
      <x:c r="H16" s="6"/>
      <x:c r="I16" s="6"/>
      <x:c r="J16" s="6"/>
      <x:c r="K16" s="6"/>
      <x:c r="L16" s="6"/>
    </x:row>
    <x:row r="17" ht="19.5" customHeight="1">
      <x:c r="A17" s="387" t="n">
        <x:f>Campaigns!B9</x:f>
        <x:v>0</x:v>
      </x:c>
      <x:c r="B17" s="476" t="n">
        <x:f>Campaigns!C9</x:f>
        <x:v>0</x:v>
      </x:c>
      <x:c r="C17" s="476" t="n">
        <x:f>Campaigns!J9</x:f>
        <x:v>0</x:v>
      </x:c>
      <x:c r="D17" s="6"/>
      <x:c r="E17" s="6"/>
      <x:c r="F17" s="6"/>
      <x:c r="G17" s="6"/>
      <x:c r="H17" s="6"/>
      <x:c r="I17" s="6"/>
      <x:c r="J17" s="6"/>
      <x:c r="K17" s="6"/>
      <x:c r="L17" s="6"/>
    </x:row>
    <x:row r="18" ht="19.5" customHeight="1">
      <x:c r="A18" s="387" t="str">
        <x:f>Campaigns!B10</x:f>
        <x:v>Campaign</x:v>
      </x:c>
      <x:c r="B18" s="476" t="str">
        <x:f>Campaigns!C10</x:f>
        <x:v>Spend</x:v>
      </x:c>
      <x:c r="C18" s="476" t="str">
        <x:f>Campaigns!J10</x:f>
        <x:v>Gross profit</x:v>
      </x:c>
      <x:c r="D18" s="6"/>
      <x:c r="E18" s="6"/>
      <x:c r="F18" s="6"/>
      <x:c r="G18" s="6"/>
      <x:c r="H18" s="6"/>
      <x:c r="I18" s="6"/>
      <x:c r="J18" s="6"/>
      <x:c r="K18" s="6"/>
      <x:c r="L18" s="6"/>
    </x:row>
    <x:row r="19" ht="19.5" customHeight="1">
      <x:c r="A19" s="387" t="str">
        <x:f>Campaigns!B11</x:f>
        <x:v>Breakfast commuter lookalike</x:v>
      </x:c>
      <x:c r="B19" s="476" t="n">
        <x:f>Campaigns!C11</x:f>
        <x:v>6500</x:v>
      </x:c>
      <x:c r="C19" s="476" t="n">
        <x:f>Campaigns!J11</x:f>
        <x:v>19162</x:v>
      </x:c>
      <x:c r="D19" s="6"/>
      <x:c r="E19" s="6"/>
      <x:c r="F19" s="6"/>
      <x:c r="G19" s="6"/>
      <x:c r="H19" s="6"/>
      <x:c r="I19" s="6"/>
      <x:c r="J19" s="6"/>
      <x:c r="K19" s="6"/>
      <x:c r="L19" s="6"/>
    </x:row>
    <x:row r="20" ht="19.5" customHeight="1">
      <x:c r="A20" s="387" t="str">
        <x:f>Campaigns!B12</x:f>
        <x:v>Near me breakfast intent</x:v>
      </x:c>
      <x:c r="B20" s="476" t="n">
        <x:f>Campaigns!C12</x:f>
        <x:v>3800</x:v>
      </x:c>
      <x:c r="C20" s="476" t="n">
        <x:f>Campaigns!J12</x:f>
        <x:v>17608</x:v>
      </x:c>
      <x:c r="D20" s="6"/>
      <x:c r="E20" s="6"/>
      <x:c r="F20" s="6"/>
      <x:c r="G20" s="6"/>
      <x:c r="H20" s="6"/>
      <x:c r="I20" s="6"/>
      <x:c r="J20" s="6"/>
      <x:c r="K20" s="6"/>
      <x:c r="L20" s="6"/>
    </x:row>
    <x:row r="21" ht="19.5" customHeight="1">
      <x:c r="A21" s="387" t="str">
        <x:f>Campaigns!B13</x:f>
        <x:v>Store visit campaign</x:v>
      </x:c>
      <x:c r="B21" s="476" t="n">
        <x:f>Campaigns!C13</x:f>
        <x:v>2200</x:v>
      </x:c>
      <x:c r="C21" s="476" t="n">
        <x:f>Campaigns!J13</x:f>
        <x:v>7616.000000000001</x:v>
      </x:c>
      <x:c r="D21" s="6"/>
      <x:c r="E21" s="6"/>
      <x:c r="F21" s="6"/>
      <x:c r="G21" s="6"/>
      <x:c r="H21" s="6"/>
      <x:c r="I21" s="6"/>
      <x:c r="J21" s="6"/>
      <x:c r="K21" s="6"/>
      <x:c r="L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</x:row>
  </x:sheetData>
  <x:mergeCells>
    <x:mergeCell ref="A1:J2"/>
    <x:mergeCell ref="A3:J4"/>
  </x:mergeCells>
  <x:pageMargins left="0.7" right="0.7" top="0.75" bottom="0.75" header="0.3" footer="0.3"/>
  <x:drawing xmlns:r="http://schemas.openxmlformats.org/officeDocument/2006/relationships" r:id="R8157853c528f4532"/>
</x:worksheet>
</file>