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d27523c5a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8b8de71909cf4aae"/>
    <x:sheet xmlns:r="http://schemas.openxmlformats.org/officeDocument/2006/relationships" name="Tracker" sheetId="2" r:id="R55c6f0091e1244be"/>
    <x:sheet xmlns:r="http://schemas.openxmlformats.org/officeDocument/2006/relationships" name="Dashboard" sheetId="3" r:id="R1d416d9d128e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&quot;AED&quot; #,##0;[Red]-&quot;AED&quot; #,##0"/>
    <x:numFmt numFmtId="202" formatCode="#,##0"/>
    <x:numFmt numFmtId="203" formatCode="0.0%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622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wrapText="1"/>
    </x:xf>
    <x:xf numFmtId="0" fontId="2" fillId="5" borderId="187" xfId="0" applyNumberFormat="1" applyFont="1" applyFill="1" applyBorder="1" applyAlignment="1">
      <x:alignment horizontal="right"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wrapText="1"/>
    </x:xf>
    <x:xf numFmtId="0" fontId="2" fillId="5" borderId="189" xfId="0" applyNumberFormat="1" applyFont="1" applyFill="1" applyBorder="1" applyAlignment="1">
      <x:alignment horizontal="right"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wrapText="1"/>
    </x:xf>
    <x:xf numFmtId="0" fontId="2" fillId="5" borderId="191" xfId="0" applyNumberFormat="1" applyFont="1" applyFill="1" applyBorder="1" applyAlignment="1">
      <x:alignment horizontal="right"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wrapText="1"/>
    </x:xf>
    <x:xf numFmtId="0" fontId="2" fillId="5" borderId="193" xfId="0" applyNumberFormat="1" applyFont="1" applyFill="1" applyBorder="1" applyAlignment="1">
      <x:alignment horizontal="right"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horizontal="right"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horizontal="right"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horizontal="right"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horizontal="right"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horizontal="right"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0" fontId="2" fillId="6" borderId="184" xfId="0" applyNumberFormat="1" applyFont="1" applyFill="1" applyBorder="1" applyAlignment="1">
      <x:alignment wrapText="1"/>
    </x:xf>
    <x:xf numFmtId="0" fontId="2" fillId="6" borderId="185" xfId="0" applyNumberFormat="1" applyFont="1" applyFill="1" applyBorder="1" applyAlignment="1">
      <x:alignment wrapText="1"/>
    </x:xf>
    <x:xf numFmtId="200" fontId="2" fillId="6" borderId="184" xfId="0" applyNumberFormat="1" applyFont="1" applyFill="1" applyBorder="1" applyAlignment="1">
      <x:alignment wrapText="1"/>
    </x:xf>
    <x:xf numFmtId="200" fontId="2" fillId="6" borderId="185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201" fontId="2" fillId="6" borderId="184" xfId="0" applyNumberFormat="1" applyFont="1" applyFill="1" applyBorder="1" applyAlignment="1">
      <x:alignment horizontal="right" wrapText="1"/>
    </x:xf>
    <x:xf numFmtId="201" fontId="2" fillId="6" borderId="185" xfId="0" applyNumberFormat="1" applyFont="1" applyFill="1" applyBorder="1" applyAlignment="1">
      <x:alignment horizontal="right" wrapText="1"/>
    </x:xf>
    <x:xf numFmtId="202" fontId="2" fillId="6" borderId="184" xfId="0" applyNumberFormat="1" applyFont="1" applyFill="1" applyBorder="1" applyAlignment="1">
      <x:alignment horizontal="right" wrapText="1"/>
    </x:xf>
    <x:xf numFmtId="202" fontId="2" fillId="6" borderId="185" xfId="0" applyNumberFormat="1" applyFont="1" applyFill="1" applyBorder="1" applyAlignment="1">
      <x:alignment horizontal="right" wrapText="1"/>
    </x:xf>
    <x:xf numFmtId="203" fontId="2" fillId="6" borderId="184" xfId="0" applyNumberFormat="1" applyFont="1" applyFill="1" applyBorder="1" applyAlignment="1">
      <x:alignment horizontal="right" wrapText="1"/>
    </x:xf>
    <x:xf numFmtId="203" fontId="2" fillId="6" borderId="185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1" fontId="2" fillId="7" borderId="184" xfId="0" applyNumberFormat="1" applyFont="1" applyFill="1" applyBorder="1" applyAlignment="1">
      <x:alignment horizontal="right" wrapText="1"/>
    </x:xf>
    <x:xf numFmtId="201" fontId="2" fillId="7" borderId="185" xfId="0" applyNumberFormat="1" applyFont="1" applyFill="1" applyBorder="1" applyAlignment="1">
      <x:alignment horizontal="right" wrapText="1"/>
    </x:xf>
    <x:xf numFmtId="203" fontId="2" fillId="7" borderId="184" xfId="0" applyNumberFormat="1" applyFont="1" applyFill="1" applyBorder="1" applyAlignment="1">
      <x:alignment horizontal="right" wrapText="1"/>
    </x:xf>
    <x:xf numFmtId="203" fontId="2" fillId="7" borderId="185" xfId="0" applyNumberFormat="1" applyFont="1" applyFill="1" applyBorder="1" applyAlignment="1">
      <x:alignment horizontal="right" wrapText="1"/>
    </x:xf>
    <x:xf numFmtId="201" fontId="2" fillId="2" borderId="0" xfId="0" applyNumberFormat="1" applyFont="1" applyFill="1" applyBorder="1"/>
    <x:xf numFmtId="201" fontId="2" fillId="2" borderId="1" xfId="0" applyNumberFormat="1" applyFont="1" applyFill="1" applyBorder="1"/>
    <x:xf numFmtId="203" fontId="2" fillId="2" borderId="0" xfId="0" applyNumberFormat="1" applyFont="1" applyFill="1" applyBorder="1"/>
    <x:xf numFmtId="203" fontId="2" fillId="2" borderId="1" xfId="0" applyNumberFormat="1" applyFont="1" applyFill="1" applyBorder="1"/>
    <x:xf numFmtId="201" fontId="2" fillId="5" borderId="0" xfId="0" applyNumberFormat="1" applyFont="1" applyFill="1" applyBorder="1"/>
    <x:xf numFmtId="203" fontId="2" fillId="5" borderId="0" xfId="0" applyNumberFormat="1" applyFont="1" applyFill="1" applyBorder="1"/>
    <x:xf numFmtId="201" fontId="2" fillId="5" borderId="1" xfId="0" applyNumberFormat="1" applyFont="1" applyFill="1" applyBorder="1"/>
    <x:xf numFmtId="203" fontId="2" fillId="5" borderId="1" xfId="0" applyNumberFormat="1" applyFont="1" applyFill="1" applyBorder="1"/>
    <x:xf numFmtId="201" fontId="2" fillId="7" borderId="0" xfId="0" applyNumberFormat="1" applyFont="1" applyFill="1" applyBorder="1"/>
    <x:xf numFmtId="203" fontId="2" fillId="7" borderId="0" xfId="0" applyNumberFormat="1" applyFont="1" applyFill="1" applyBorder="1"/>
    <x:xf numFmtId="201" fontId="2" fillId="7" borderId="1" xfId="0" applyNumberFormat="1" applyFont="1" applyFill="1" applyBorder="1"/>
    <x:xf numFmtId="203" fontId="2" fillId="7" borderId="1" xfId="0" applyNumberFormat="1" applyFont="1" applyFill="1" applyBorder="1"/>
    <x:xf numFmtId="201" fontId="7" fillId="7" borderId="0" xfId="0" applyNumberFormat="1" applyFont="1" applyFill="1" applyBorder="1"/>
    <x:xf numFmtId="203" fontId="7" fillId="7" borderId="0" xfId="0" applyNumberFormat="1" applyFont="1" applyFill="1" applyBorder="1"/>
    <x:xf numFmtId="201" fontId="7" fillId="7" borderId="1" xfId="0" applyNumberFormat="1" applyFont="1" applyFill="1" applyBorder="1"/>
    <x:xf numFmtId="203" fontId="7" fillId="7" borderId="1" xfId="0" applyNumberFormat="1" applyFont="1" applyFill="1" applyBorder="1"/>
    <x:xf numFmtId="201" fontId="10" fillId="7" borderId="0" xfId="0" applyNumberFormat="1" applyFont="1" applyFill="1" applyBorder="1"/>
    <x:xf numFmtId="203" fontId="10" fillId="7" borderId="0" xfId="0" applyNumberFormat="1" applyFont="1" applyFill="1" applyBorder="1"/>
    <x:xf numFmtId="201" fontId="10" fillId="7" borderId="1" xfId="0" applyNumberFormat="1" applyFont="1" applyFill="1" applyBorder="1"/>
    <x:xf numFmtId="203" fontId="10" fillId="7" borderId="1" xfId="0" applyNumberFormat="1" applyFont="1" applyFill="1" applyBorder="1"/>
    <x:xf numFmtId="201" fontId="10" fillId="7" borderId="0" xfId="0" applyNumberFormat="1" applyFont="1" applyFill="1" applyBorder="1" applyAlignment="1">
      <x:alignment horizontal="right"/>
    </x:xf>
    <x:xf numFmtId="203" fontId="10" fillId="7" borderId="0" xfId="0" applyNumberFormat="1" applyFont="1" applyFill="1" applyBorder="1" applyAlignment="1">
      <x:alignment horizontal="right"/>
    </x:xf>
    <x:xf numFmtId="201" fontId="10" fillId="7" borderId="1" xfId="0" applyNumberFormat="1" applyFont="1" applyFill="1" applyBorder="1" applyAlignment="1">
      <x:alignment horizontal="right"/>
    </x:xf>
    <x:xf numFmtId="203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3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3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3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3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3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3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1" fontId="10" fillId="7" borderId="33" xfId="0" applyNumberFormat="1" applyFont="1" applyFill="1" applyBorder="1" applyAlignment="1">
      <x:alignment horizontal="right"/>
    </x:xf>
    <x:xf numFmtId="203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1" fontId="10" fillId="7" borderId="36" xfId="0" applyNumberFormat="1" applyFont="1" applyFill="1" applyBorder="1" applyAlignment="1">
      <x:alignment horizontal="right"/>
    </x:xf>
    <x:xf numFmtId="203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1" fontId="10" fillId="7" borderId="39" xfId="0" applyNumberFormat="1" applyFont="1" applyFill="1" applyBorder="1" applyAlignment="1">
      <x:alignment horizontal="right"/>
    </x:xf>
    <x:xf numFmtId="203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1" fontId="10" fillId="7" borderId="42" xfId="0" applyNumberFormat="1" applyFont="1" applyFill="1" applyBorder="1" applyAlignment="1">
      <x:alignment horizontal="right"/>
    </x:xf>
    <x:xf numFmtId="203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1" fontId="10" fillId="7" borderId="45" xfId="0" applyNumberFormat="1" applyFont="1" applyFill="1" applyBorder="1" applyAlignment="1">
      <x:alignment horizontal="right"/>
    </x:xf>
    <x:xf numFmtId="203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1" fontId="10" fillId="7" borderId="48" xfId="0" applyNumberFormat="1" applyFont="1" applyFill="1" applyBorder="1" applyAlignment="1">
      <x:alignment horizontal="right"/>
    </x:xf>
    <x:xf numFmtId="203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1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3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1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3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1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3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1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3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1" fontId="10" fillId="7" borderId="66" xfId="0" applyNumberFormat="1" applyFont="1" applyFill="1" applyBorder="1" applyAlignment="1">
      <x:alignment horizontal="right"/>
    </x:xf>
    <x:xf numFmtId="203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1" fontId="10" fillId="7" borderId="67" xfId="0" applyNumberFormat="1" applyFont="1" applyFill="1" applyBorder="1" applyAlignment="1">
      <x:alignment horizontal="right"/>
    </x:xf>
    <x:xf numFmtId="203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1" fontId="10" fillId="7" borderId="177" xfId="0" applyNumberFormat="1" applyFont="1" applyFill="1" applyBorder="1" applyAlignment="1">
      <x:alignment horizontal="right"/>
    </x:xf>
    <x:xf numFmtId="203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1" fontId="10" fillId="7" borderId="179" xfId="0" applyNumberFormat="1" applyFont="1" applyFill="1" applyBorder="1" applyAlignment="1">
      <x:alignment horizontal="right"/>
    </x:xf>
    <x:xf numFmtId="203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1" fontId="10" fillId="7" borderId="181" xfId="0" applyNumberFormat="1" applyFont="1" applyFill="1" applyBorder="1" applyAlignment="1">
      <x:alignment horizontal="right"/>
    </x:xf>
    <x:xf numFmtId="203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1" fontId="10" fillId="7" borderId="183" xfId="0" applyNumberFormat="1" applyFont="1" applyFill="1" applyBorder="1" applyAlignment="1">
      <x:alignment horizontal="right"/>
    </x:xf>
    <x:xf numFmtId="203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1" fontId="10" fillId="7" borderId="184" xfId="0" applyNumberFormat="1" applyFont="1" applyFill="1" applyBorder="1" applyAlignment="1">
      <x:alignment horizontal="right"/>
    </x:xf>
    <x:xf numFmtId="203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1" fontId="10" fillId="7" borderId="185" xfId="0" applyNumberFormat="1" applyFont="1" applyFill="1" applyBorder="1" applyAlignment="1">
      <x:alignment horizontal="right"/>
    </x:xf>
    <x:xf numFmtId="203" fontId="10" fillId="7" borderId="185" xfId="0" applyNumberFormat="1" applyFont="1" applyFill="1" applyBorder="1" applyAlignment="1">
      <x:alignment horizontal="right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111528d434127" /><Relationship Type="http://schemas.openxmlformats.org/officeDocument/2006/relationships/theme" Target="/xl/theme/theme1.xml" Id="R52a08a8570124b6b" /><Relationship Type="http://schemas.openxmlformats.org/officeDocument/2006/relationships/sharedStrings" Target="/xl/sharedStrings.xml" Id="R9fdcc4bb986040ec" /><Relationship Type="http://schemas.openxmlformats.org/officeDocument/2006/relationships/worksheet" Target="/xl/worksheets/sheet1.xml" Id="R8b8de71909cf4aae" /><Relationship Type="http://schemas.openxmlformats.org/officeDocument/2006/relationships/worksheet" Target="/xl/worksheets/sheet2.xml" Id="R55c6f0091e1244be" /><Relationship Type="http://schemas.openxmlformats.org/officeDocument/2006/relationships/worksheet" Target="/xl/worksheets/sheet3.xml" Id="R1d416d9d128e45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7da8988abb4159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Revenue generated vs spend by promotion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Spend</c:v>
          </c:tx>
          <c:spPr>
            <a:solidFill xmlns:a="http://schemas.openxmlformats.org/drawingml/2006/main">
              <a:srgbClr val="F59E0B"/>
            </a:solidFill>
            <a:ln xmlns:a="http://schemas.openxmlformats.org/drawingml/2006/main">
              <a:solidFill>
                <a:srgbClr val="F59E0B"/>
              </a:solidFill>
            </a:ln>
          </c:spPr>
          <c:cat>
            <c:strRef>
              <c:f>'Dashboard'!$A$16:$A$21</c:f>
              <c:strCache>
                <c:ptCount val="0"/>
              </c:strCache>
            </c:strRef>
          </c:cat>
          <c:val>
            <c:numRef>
              <c:f>'Dashboard'!$B$16:$B$21</c:f>
              <c:numCache>
                <c:formatCode>"AED" #,##0;[Red]-"AED" #,##0</c:formatCode>
                <c:ptCount val="0"/>
              </c:numCache>
            </c:numRef>
          </c:val>
        </c:ser>
        <c:ser>
          <c:idx val="1"/>
          <c:order val="1"/>
          <c:tx>
            <c:v>Attributed revenue</c:v>
          </c:tx>
          <c: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</a:ln>
          </c:spPr>
          <c:cat>
            <c:strRef>
              <c:f>'Dashboard'!$A$16:$A$21</c:f>
              <c:strCache>
                <c:ptCount val="0"/>
              </c:strCache>
            </c:strRef>
          </c:cat>
          <c:val>
            <c:numRef>
              <c:f>'Dashboard'!$C$16:$C$21</c:f>
              <c:numCache>
                <c:formatCode>"AED" #,##0;[Red]-"AED"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7</xdr:row>
      <xdr:rowOff>0</xdr:rowOff>
    </xdr:from>
    <xdr:ext cx="6096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7da8988abb415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b720895ed0442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Restaurant Promotion Tracker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Track whether promotions created profitable demand or simply moved volume at a poor margin.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Operators, growth leads, marketing managers, store teams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clearer view of offer quality, discount leakage, and which campaigns deserve to repeat.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Separate revenue from net contribution so discount-led growth is reviewed properly.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Track promotion objectives and post-campaign learning, not just the dates the campaign ran.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Use the dashboard to identify which campaigns created the strongest commercial return.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Tracker</x:v>
      </x:c>
      <x:c r="B26" s="387" t="str">
        <x:v>Track live and completed promotions with spend, revenue, and MROI logic.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Dashboard</x:v>
      </x:c>
      <x:c r="B27" s="387" t="str">
        <x:v>Review total spend, total revenue, and promotion-level return side by side.</x:v>
      </x:c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29.290000915527344" hidden="0" customWidth="1"/>
    <x:col min="3" max="3" width="22.139999389648438" hidden="0" customWidth="1"/>
    <x:col min="4" max="4" width="19.290000915527344" hidden="0" customWidth="1"/>
    <x:col min="5" max="5" width="22.139999389648438" hidden="0" customWidth="1"/>
    <x:col min="6" max="6" width="15" hidden="0" customWidth="1"/>
    <x:col min="7" max="7" width="15" hidden="0" customWidth="1"/>
    <x:col min="8" max="8" width="15" hidden="0" customWidth="1"/>
    <x:col min="9" max="9" width="16.43000030517578" hidden="0" customWidth="1"/>
    <x:col min="10" max="10" width="12.859999656677246" hidden="0" customWidth="1"/>
    <x:col min="11" max="11" width="19.290000915527344" hidden="0" customWidth="1"/>
    <x:col min="12" max="12" width="16.43000030517578" hidden="0" customWidth="1"/>
    <x:col min="13" max="13" width="18.56999969482422" hidden="0" customWidth="1"/>
    <x:col min="14" max="14" width="12.140000343322754" hidden="0" customWidth="1"/>
    <x:col min="15" max="15" width="15" hidden="0" customWidth="1"/>
    <x:col min="16" max="16" width="33.56999969482422" hidden="0" customWidth="1"/>
  </x:cols>
  <x:sheetData>
    <x:row r="1" ht="25.5" customHeight="1">
      <x:c r="A1" s="56" t="str">
        <x:v>Promotion Tracker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80"/>
      <x:c r="Q1" s="6"/>
      <x:c r="R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81"/>
      <x:c r="Q2" s="6"/>
      <x:c r="R2" s="6"/>
    </x:row>
    <x:row r="3" ht="19.5" customHeight="1">
      <x:c r="A3" s="58" t="str">
        <x:v>Use one line per campaign, offer, or localized push.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82"/>
      <x:c r="Q3" s="6"/>
      <x:c r="R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83"/>
      <x:c r="Q4" s="6"/>
      <x:c r="R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</x:row>
    <x:row r="6">
      <x:c r="A6" s="108" t="str">
        <x:v>How to use this tab</x:v>
      </x:c>
      <x:c r="B6" s="102"/>
      <x:c r="C6" s="102"/>
      <x:c r="D6" s="102"/>
      <x:c r="E6" s="102"/>
      <x:c r="F6" s="102"/>
      <x:c r="G6" s="102"/>
      <x:c r="H6" s="102"/>
      <x:c r="I6" s="102"/>
      <x:c r="J6" s="114"/>
      <x:c r="K6" s="6"/>
      <x:c r="L6" s="6"/>
      <x:c r="M6" s="6"/>
      <x:c r="N6" s="6"/>
      <x:c r="O6" s="6"/>
      <x:c r="P6" s="6"/>
      <x:c r="Q6" s="6"/>
      <x:c r="R6" s="6"/>
    </x:row>
    <x:row r="7" ht="19.5" customHeight="1">
      <x:c r="A7" s="178" t="str">
        <x:v>1. Discount cost is separate from media spend so the real offer cost stays visible.</x:v>
      </x:c>
      <x:c r="B7" s="178"/>
      <x:c r="C7" s="178"/>
      <x:c r="D7" s="178"/>
      <x:c r="E7" s="178"/>
      <x:c r="F7" s="178"/>
      <x:c r="G7" s="178"/>
      <x:c r="H7" s="178"/>
      <x:c r="I7" s="178"/>
      <x:c r="J7" s="178"/>
      <x:c r="K7" s="6"/>
      <x:c r="L7" s="6"/>
      <x:c r="M7" s="6"/>
      <x:c r="N7" s="6"/>
      <x:c r="O7" s="6"/>
      <x:c r="P7" s="6"/>
      <x:c r="Q7" s="6"/>
      <x:c r="R7" s="6"/>
    </x:row>
    <x:row r="8" ht="19.5" customHeight="1">
      <x:c r="A8" s="178" t="str">
        <x:v>2. Net contribution is calculated using attributed revenue, gross margin, spend, and discount leakage.</x:v>
      </x:c>
      <x:c r="B8" s="178"/>
      <x:c r="C8" s="178"/>
      <x:c r="D8" s="178"/>
      <x:c r="E8" s="178"/>
      <x:c r="F8" s="178"/>
      <x:c r="G8" s="178"/>
      <x:c r="H8" s="178"/>
      <x:c r="I8" s="178"/>
      <x:c r="J8" s="178"/>
      <x:c r="K8" s="6"/>
      <x:c r="L8" s="6"/>
      <x:c r="M8" s="6"/>
      <x:c r="N8" s="6"/>
      <x:c r="O8" s="6"/>
      <x:c r="P8" s="6"/>
      <x:c r="Q8" s="6"/>
      <x:c r="R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</x:row>
    <x:row r="11" ht="18" customHeight="1">
      <x:c r="A11" s="386" t="str">
        <x:v>Promo ID</x:v>
      </x:c>
      <x:c r="B11" s="386" t="str">
        <x:v>Promotion</x:v>
      </x:c>
      <x:c r="C11" s="386" t="str">
        <x:v>Objective</x:v>
      </x:c>
      <x:c r="D11" s="386" t="str">
        <x:v>Channel</x:v>
      </x:c>
      <x:c r="E11" s="386" t="str">
        <x:v>Audience</x:v>
      </x:c>
      <x:c r="F11" s="386" t="str">
        <x:v>Start date</x:v>
      </x:c>
      <x:c r="G11" s="386" t="str">
        <x:v>End date</x:v>
      </x:c>
      <x:c r="H11" s="386" t="str">
        <x:v>Spend</x:v>
      </x:c>
      <x:c r="I11" s="386" t="str">
        <x:v>Discount cost</x:v>
      </x:c>
      <x:c r="J11" s="386" t="str">
        <x:v>Redemptions</x:v>
      </x:c>
      <x:c r="K11" s="386" t="str">
        <x:v>Attributed revenue</x:v>
      </x:c>
      <x:c r="L11" s="386" t="str">
        <x:v>Gross margin %</x:v>
      </x:c>
      <x:c r="M11" s="386" t="str">
        <x:v>Net contribution</x:v>
      </x:c>
      <x:c r="N11" s="386" t="str">
        <x:v>MROI</x:v>
      </x:c>
      <x:c r="O11" s="386" t="str">
        <x:v>Status</x:v>
      </x:c>
      <x:c r="P11" s="386" t="str">
        <x:v>Learning</x:v>
      </x:c>
      <x:c r="Q11" s="6"/>
      <x:c r="R11" s="6"/>
    </x:row>
    <x:row r="12" ht="19.5" customHeight="1">
      <x:c r="A12" s="438" t="str">
        <x:v>PR-001</x:v>
      </x:c>
      <x:c r="B12" s="438" t="str">
        <x:v>Breakfast combo reset</x:v>
      </x:c>
      <x:c r="C12" s="438" t="str">
        <x:v>Drive weekday frequency</x:v>
      </x:c>
      <x:c r="D12" s="438" t="str">
        <x:v>Meta</x:v>
      </x:c>
      <x:c r="E12" s="438" t="str">
        <x:v>Office commuters</x:v>
      </x:c>
      <x:c r="F12" s="440" t="n">
        <x:v>46032</x:v>
      </x:c>
      <x:c r="G12" s="440" t="n">
        <x:v>46046</x:v>
      </x:c>
      <x:c r="H12" s="444" t="n">
        <x:v>3200</x:v>
      </x:c>
      <x:c r="I12" s="444" t="n">
        <x:v>1800</x:v>
      </x:c>
      <x:c r="J12" s="446" t="n">
        <x:v>540</x:v>
      </x:c>
      <x:c r="K12" s="444" t="n">
        <x:v>19800</x:v>
      </x:c>
      <x:c r="L12" s="448" t="n">
        <x:v>0.68</x:v>
      </x:c>
      <x:c r="M12" s="452" t="n">
        <x:f>IF(OR(K12=0,L12=0),"",K12*L12-H12-I12)</x:f>
        <x:v>8464.000000000002</x:v>
      </x:c>
      <x:c r="N12" s="454" t="n">
        <x:f>IF((H12+I12)=0,"",M12/(H12+I12))</x:f>
        <x:v>1.6928000000000003</x:v>
      </x:c>
      <x:c r="O12" s="438" t="str">
        <x:v>Complete</x:v>
      </x:c>
      <x:c r="P12" s="438" t="str">
        <x:v>Strongest Monday-Wednesday response before 10:30am.</x:v>
      </x:c>
      <x:c r="Q12" s="6"/>
      <x:c r="R12" s="6"/>
    </x:row>
    <x:row r="13" ht="19.5" customHeight="1">
      <x:c r="A13" s="438" t="str">
        <x:v>PR-002</x:v>
      </x:c>
      <x:c r="B13" s="438" t="str">
        <x:v>Valentine dessert duo</x:v>
      </x:c>
      <x:c r="C13" s="438" t="str">
        <x:v>Lift evening tickets</x:v>
      </x:c>
      <x:c r="D13" s="438" t="str">
        <x:v>Instagram</x:v>
      </x:c>
      <x:c r="E13" s="438" t="str">
        <x:v>Couples</x:v>
      </x:c>
      <x:c r="F13" s="440" t="n">
        <x:v>46059</x:v>
      </x:c>
      <x:c r="G13" s="440" t="n">
        <x:v>46068</x:v>
      </x:c>
      <x:c r="H13" s="444" t="n">
        <x:v>4200</x:v>
      </x:c>
      <x:c r="I13" s="444" t="n">
        <x:v>2500</x:v>
      </x:c>
      <x:c r="J13" s="446" t="n">
        <x:v>260</x:v>
      </x:c>
      <x:c r="K13" s="444" t="n">
        <x:v>18600</x:v>
      </x:c>
      <x:c r="L13" s="448" t="n">
        <x:v>0.72</x:v>
      </x:c>
      <x:c r="M13" s="452" t="n">
        <x:f>IF(OR(K13=0,L13=0),"",K13*L13-H13-I13)</x:f>
        <x:v>6692</x:v>
      </x:c>
      <x:c r="N13" s="454" t="n">
        <x:f>IF((H13+I13)=0,"",M13/(H13+I13))</x:f>
        <x:v>0.9988059701492538</x:v>
      </x:c>
      <x:c r="O13" s="438" t="str">
        <x:v>Complete</x:v>
      </x:c>
      <x:c r="P13" s="438" t="str">
        <x:v>Content quality mattered more than discount depth.</x:v>
      </x:c>
      <x:c r="Q13" s="6"/>
      <x:c r="R13" s="6"/>
    </x:row>
    <x:row r="14" ht="19.5" customHeight="1">
      <x:c r="A14" s="438" t="str">
        <x:v>PR-003</x:v>
      </x:c>
      <x:c r="B14" s="438" t="str">
        <x:v>Ramadan family sharing bundle</x:v>
      </x:c>
      <x:c r="C14" s="438" t="str">
        <x:v>Increase group orders</x:v>
      </x:c>
      <x:c r="D14" s="438" t="str">
        <x:v>WhatsApp</x:v>
      </x:c>
      <x:c r="E14" s="438" t="str">
        <x:v>Families</x:v>
      </x:c>
      <x:c r="F14" s="440" t="n">
        <x:v>46084</x:v>
      </x:c>
      <x:c r="G14" s="440" t="n">
        <x:v>46109</x:v>
      </x:c>
      <x:c r="H14" s="444" t="n">
        <x:v>2600</x:v>
      </x:c>
      <x:c r="I14" s="444" t="n">
        <x:v>3600</x:v>
      </x:c>
      <x:c r="J14" s="446" t="n">
        <x:v>410</x:v>
      </x:c>
      <x:c r="K14" s="444" t="n">
        <x:v>24400</x:v>
      </x:c>
      <x:c r="L14" s="448" t="n">
        <x:v>0.64</x:v>
      </x:c>
      <x:c r="M14" s="452" t="n">
        <x:f>IF(OR(K14=0,L14=0),"",K14*L14-H14-I14)</x:f>
        <x:v>9416</x:v>
      </x:c>
      <x:c r="N14" s="454" t="n">
        <x:f>IF((H14+I14)=0,"",M14/(H14+I14))</x:f>
        <x:v>1.518709677419355</x:v>
      </x:c>
      <x:c r="O14" s="438" t="str">
        <x:v>Live</x:v>
      </x:c>
      <x:c r="P14" s="438" t="str">
        <x:v>Bundle uptake rises after 4pm reminder sends.</x:v>
      </x:c>
      <x:c r="Q14" s="6"/>
      <x:c r="R14" s="6"/>
    </x:row>
    <x:row r="15" ht="19.5" customHeight="1">
      <x:c r="A15" s="438" t="str">
        <x:v>PR-004</x:v>
      </x:c>
      <x:c r="B15" s="438" t="str">
        <x:v>Cold brew launch week</x:v>
      </x:c>
      <x:c r="C15" s="438" t="str">
        <x:v>Grow afternoon sales</x:v>
      </x:c>
      <x:c r="D15" s="438" t="str">
        <x:v>TikTok</x:v>
      </x:c>
      <x:c r="E15" s="438" t="str">
        <x:v>Students</x:v>
      </x:c>
      <x:c r="F15" s="440" t="n">
        <x:v>46176</x:v>
      </x:c>
      <x:c r="G15" s="440" t="n">
        <x:v>46182</x:v>
      </x:c>
      <x:c r="H15" s="444" t="n">
        <x:v>5100</x:v>
      </x:c>
      <x:c r="I15" s="444" t="n">
        <x:v>900</x:v>
      </x:c>
      <x:c r="J15" s="446" t="n">
        <x:v>310</x:v>
      </x:c>
      <x:c r="K15" s="444" t="n">
        <x:v>16200</x:v>
      </x:c>
      <x:c r="L15" s="448" t="n">
        <x:v>0.7</x:v>
      </x:c>
      <x:c r="M15" s="452" t="n">
        <x:f>IF(OR(K15=0,L15=0),"",K15*L15-H15-I15)</x:f>
        <x:v>5340</x:v>
      </x:c>
      <x:c r="N15" s="454" t="n">
        <x:f>IF((H15+I15)=0,"",M15/(H15+I15))</x:f>
        <x:v>0.89</x:v>
      </x:c>
      <x:c r="O15" s="438" t="str">
        <x:v>Approved</x:v>
      </x:c>
      <x:c r="P15" s="438" t="str">
        <x:v>UGC drove most of the conversion lift.</x:v>
      </x:c>
      <x:c r="Q15" s="6"/>
      <x:c r="R15" s="6"/>
    </x:row>
    <x:row r="16" ht="19.5" customHeight="1">
      <x:c r="A16" s="438" t="str">
        <x:v>PR-005</x:v>
      </x:c>
      <x:c r="B16" s="438" t="str">
        <x:v>Summer delivery meal deal</x:v>
      </x:c>
      <x:c r="C16" s="438" t="str">
        <x:v>Defend delivery mix</x:v>
      </x:c>
      <x:c r="D16" s="438" t="str">
        <x:v>Aggregator</x:v>
      </x:c>
      <x:c r="E16" s="438" t="str">
        <x:v>Home delivery</x:v>
      </x:c>
      <x:c r="F16" s="440" t="n">
        <x:v>46210</x:v>
      </x:c>
      <x:c r="G16" s="440" t="n">
        <x:v>46234</x:v>
      </x:c>
      <x:c r="H16" s="444" t="n">
        <x:v>4800</x:v>
      </x:c>
      <x:c r="I16" s="444" t="n">
        <x:v>5400</x:v>
      </x:c>
      <x:c r="J16" s="446" t="n">
        <x:v>680</x:v>
      </x:c>
      <x:c r="K16" s="444" t="n">
        <x:v>31800</x:v>
      </x:c>
      <x:c r="L16" s="448" t="n">
        <x:v>0.56</x:v>
      </x:c>
      <x:c r="M16" s="452" t="n">
        <x:f>IF(OR(K16=0,L16=0),"",K16*L16-H16-I16)</x:f>
        <x:v>7608</x:v>
      </x:c>
      <x:c r="N16" s="454" t="n">
        <x:f>IF((H16+I16)=0,"",M16/(H16+I16))</x:f>
        <x:v>0.7458823529411764</x:v>
      </x:c>
      <x:c r="O16" s="438" t="str">
        <x:v>Ready</x:v>
      </x:c>
      <x:c r="P16" s="438" t="str">
        <x:v>Needs packaging note to reduce refund risk.</x:v>
      </x:c>
      <x:c r="Q16" s="6"/>
      <x:c r="R16" s="6"/>
    </x:row>
    <x:row r="17" ht="19.5" customHeight="1">
      <x:c r="A17" s="438" t="str">
        <x:v>PR-006</x:v>
      </x:c>
      <x:c r="B17" s="438" t="str">
        <x:v>Back-to-school breakfast set</x:v>
      </x:c>
      <x:c r="C17" s="438" t="str">
        <x:v>Recover morning traffic</x:v>
      </x:c>
      <x:c r="D17" s="438" t="str">
        <x:v>Google Search</x:v>
      </x:c>
      <x:c r="E17" s="438" t="str">
        <x:v>Parents</x:v>
      </x:c>
      <x:c r="F17" s="440" t="n">
        <x:v>46266</x:v>
      </x:c>
      <x:c r="G17" s="440" t="n">
        <x:v>46285</x:v>
      </x:c>
      <x:c r="H17" s="444" t="n">
        <x:v>3800</x:v>
      </x:c>
      <x:c r="I17" s="444" t="n">
        <x:v>2100</x:v>
      </x:c>
      <x:c r="J17" s="446" t="n">
        <x:v>390</x:v>
      </x:c>
      <x:c r="K17" s="444" t="n">
        <x:v>17400</x:v>
      </x:c>
      <x:c r="L17" s="448" t="n">
        <x:v>0.67</x:v>
      </x:c>
      <x:c r="M17" s="452" t="n">
        <x:f>IF(OR(K17=0,L17=0),"",K17*L17-H17-I17)</x:f>
        <x:v>5758</x:v>
      </x:c>
      <x:c r="N17" s="454" t="n">
        <x:f>IF((H17+I17)=0,"",M17/(H17+I17))</x:f>
        <x:v>0.9759322033898306</x:v>
      </x:c>
      <x:c r="O17" s="438" t="str">
        <x:v>Not started</x:v>
      </x:c>
      <x:c r="P17" s="438" t="str">
        <x:v>Promote near schools and commuter roads only.</x:v>
      </x:c>
      <x:c r="Q17" s="6"/>
      <x:c r="R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</x:row>
  </x:sheetData>
  <x:mergeCells>
    <x:mergeCell ref="A1:P2"/>
    <x:mergeCell ref="A3:P4"/>
    <x:mergeCell ref="A6:J6"/>
    <x:mergeCell ref="A7:J7"/>
    <x:mergeCell ref="A8:J8"/>
  </x:mergeCells>
  <x:dataValidations count="7">
    <x:dataValidation type="list" allowBlank="1" showDropDown="0" sqref="D12:D17">
      <x:formula1>Meta,Google Search,Google Maps,TikTok,Email,SMS,WhatsApp,Push,In-store,Flyers,Influencers,Aggregators</x:formula1>
    </x:dataValidation>
    <x:dataValidation type="decimal" errorStyle="stop" operator="between" showErrorMessage="1" errorTitle="Invalid value" error="Enter a decimal between 0 and 250000." sqref="H12:H17">
      <x:formula1>0</x:formula1>
      <x:formula2>250000</x:formula2>
    </x:dataValidation>
    <x:dataValidation type="decimal" errorStyle="stop" operator="between" showErrorMessage="1" errorTitle="Invalid value" error="Enter a decimal between 0 and 250000." sqref="I12:I17">
      <x:formula1>0</x:formula1>
      <x:formula2>250000</x:formula2>
    </x:dataValidation>
    <x:dataValidation type="whole" errorStyle="stop" operator="between" showErrorMessage="1" errorTitle="Invalid value" error="Enter a whole number between 0 and 200000." sqref="J12:J17">
      <x:formula1>0</x:formula1>
      <x:formula2>200000</x:formula2>
    </x:dataValidation>
    <x:dataValidation type="decimal" errorStyle="stop" operator="between" showErrorMessage="1" errorTitle="Invalid value" error="Enter a decimal between 0 and 1000000." sqref="K12:K17">
      <x:formula1>0</x:formula1>
      <x:formula2>1000000</x:formula2>
    </x:dataValidation>
    <x:dataValidation type="decimal" errorStyle="stop" operator="between" showErrorMessage="1" errorTitle="Invalid value" error="Enter a decimal between 0 and 1." sqref="L12:L17">
      <x:formula1>0</x:formula1>
      <x:formula2>1</x:formula2>
    </x:dataValidation>
    <x:dataValidation type="list" allowBlank="1" showDropDown="0" sqref="O12:O17">
      <x:formula1>Not started,In progress,Approved,Ready,Live,Complete,Blocked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17.860000610351562" hidden="0" customWidth="1"/>
    <x:col min="3" max="3" width="27.860000610351562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19.290000915527344" hidden="0" customWidth="1"/>
    <x:col min="9" max="9" width="19.290000915527344" hidden="0" customWidth="1"/>
    <x:col min="10" max="10" width="19.290000915527344" hidden="0" customWidth="1"/>
  </x:cols>
  <x:sheetData>
    <x:row r="1" ht="25.5" customHeight="1">
      <x:c r="A1" s="56" t="str">
        <x:v>Promotion Performance Dashboard</x:v>
      </x:c>
      <x:c r="B1" s="32"/>
      <x:c r="C1" s="32"/>
      <x:c r="D1" s="32"/>
      <x:c r="E1" s="32"/>
      <x:c r="F1" s="32"/>
      <x:c r="G1" s="32"/>
      <x:c r="H1" s="32"/>
      <x:c r="I1" s="32"/>
      <x:c r="J1" s="80"/>
      <x:c r="K1" s="6"/>
      <x:c r="L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81"/>
      <x:c r="K2" s="6"/>
      <x:c r="L2" s="6"/>
    </x:row>
    <x:row r="3" ht="19.5" customHeight="1">
      <x:c r="A3" s="58" t="str">
        <x:v>Use this view to decide which promotions to repeat, cut, or redesign.</x:v>
      </x:c>
      <x:c r="B3" s="26"/>
      <x:c r="C3" s="26"/>
      <x:c r="D3" s="26"/>
      <x:c r="E3" s="26"/>
      <x:c r="F3" s="26"/>
      <x:c r="G3" s="26"/>
      <x:c r="H3" s="26"/>
      <x:c r="I3" s="26"/>
      <x:c r="J3" s="82"/>
      <x:c r="K3" s="6"/>
      <x:c r="L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83"/>
      <x:c r="K4" s="6"/>
      <x:c r="L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</x:row>
    <x:row r="8" ht="18" customHeight="1">
      <x:c r="A8" s="588" t="str">
        <x:v>Promotion summary</x:v>
      </x:c>
      <x:c r="B8" s="588" t="str">
        <x:v>Value</x:v>
      </x:c>
      <x:c r="C8" s="6"/>
      <x:c r="D8" s="6"/>
      <x:c r="E8" s="6"/>
      <x:c r="F8" s="6"/>
      <x:c r="G8" s="6"/>
      <x:c r="H8" s="6"/>
      <x:c r="I8" s="6"/>
      <x:c r="J8" s="6"/>
      <x:c r="K8" s="6"/>
      <x:c r="L8" s="6"/>
    </x:row>
    <x:row r="9" ht="22.5" customHeight="1">
      <x:c r="A9" s="589" t="str">
        <x:v>Total spend</x:v>
      </x:c>
      <x:c r="B9" s="590" t="n">
        <x:f>SUM(Tracker!H8:H13)</x:f>
        <x:v>7400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</x:row>
    <x:row r="10" ht="22.5" customHeight="1">
      <x:c r="A10" s="589" t="str">
        <x:v>Total discount cost</x:v>
      </x:c>
      <x:c r="B10" s="590" t="n">
        <x:f>SUM(Tracker!I8:I13)</x:f>
        <x:v>4300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</x:row>
    <x:row r="11" ht="22.5" customHeight="1">
      <x:c r="A11" s="589" t="str">
        <x:v>Attributed revenue</x:v>
      </x:c>
      <x:c r="B11" s="590" t="n">
        <x:f>SUM(Tracker!K8:K13)</x:f>
        <x:v>38400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</x:row>
    <x:row r="12" ht="22.5" customHeight="1">
      <x:c r="A12" s="589" t="str">
        <x:v>Average MROI</x:v>
      </x:c>
      <x:c r="B12" s="591" t="n">
        <x:f>AVERAGE(Tracker!N8:N13)</x:f>
        <x:v>1.3458029850746271</x:v>
      </x:c>
      <x:c r="C12" s="6"/>
      <x:c r="D12" s="6"/>
      <x:c r="E12" s="6"/>
      <x:c r="F12" s="6"/>
      <x:c r="G12" s="6"/>
      <x:c r="H12" s="6"/>
      <x:c r="I12" s="6"/>
      <x:c r="J12" s="6"/>
      <x:c r="K12" s="6"/>
      <x:c r="L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</x:row>
    <x:row r="15" ht="18" customHeight="1">
      <x:c r="A15" s="386" t="str">
        <x:v>Promotion</x:v>
      </x:c>
      <x:c r="B15" s="386" t="str">
        <x:v>Spend</x:v>
      </x:c>
      <x:c r="C15" s="386" t="str">
        <x:v>Attributed revenue</x:v>
      </x:c>
      <x:c r="D15" s="6"/>
      <x:c r="E15" s="6"/>
      <x:c r="F15" s="6"/>
      <x:c r="G15" s="6"/>
      <x:c r="H15" s="6"/>
      <x:c r="I15" s="6"/>
      <x:c r="J15" s="6"/>
      <x:c r="K15" s="6"/>
      <x:c r="L15" s="6"/>
    </x:row>
    <x:row r="16" ht="19.5" customHeight="1">
      <x:c r="A16" s="387" t="n">
        <x:f>Tracker!B8</x:f>
        <x:v>0</x:v>
      </x:c>
      <x:c r="B16" s="452" t="n">
        <x:f>Tracker!H8</x:f>
        <x:v>0</x:v>
      </x:c>
      <x:c r="C16" s="452" t="n">
        <x:f>Tracker!K8</x:f>
        <x:v>0</x:v>
      </x:c>
      <x:c r="D16" s="6"/>
      <x:c r="E16" s="6"/>
      <x:c r="F16" s="6"/>
      <x:c r="G16" s="6"/>
      <x:c r="H16" s="6"/>
      <x:c r="I16" s="6"/>
      <x:c r="J16" s="6"/>
      <x:c r="K16" s="6"/>
      <x:c r="L16" s="6"/>
    </x:row>
    <x:row r="17" ht="19.5" customHeight="1">
      <x:c r="A17" s="387" t="n">
        <x:f>Tracker!B9</x:f>
        <x:v>0</x:v>
      </x:c>
      <x:c r="B17" s="452" t="n">
        <x:f>Tracker!H9</x:f>
        <x:v>0</x:v>
      </x:c>
      <x:c r="C17" s="452" t="n">
        <x:f>Tracker!K9</x:f>
        <x:v>0</x:v>
      </x:c>
      <x:c r="D17" s="6"/>
      <x:c r="E17" s="6"/>
      <x:c r="F17" s="6"/>
      <x:c r="G17" s="6"/>
      <x:c r="H17" s="6"/>
      <x:c r="I17" s="6"/>
      <x:c r="J17" s="6"/>
      <x:c r="K17" s="6"/>
      <x:c r="L17" s="6"/>
    </x:row>
    <x:row r="18" ht="19.5" customHeight="1">
      <x:c r="A18" s="387" t="n">
        <x:f>Tracker!B10</x:f>
        <x:v>0</x:v>
      </x:c>
      <x:c r="B18" s="452" t="n">
        <x:f>Tracker!H10</x:f>
        <x:v>0</x:v>
      </x:c>
      <x:c r="C18" s="452" t="n">
        <x:f>Tracker!K10</x:f>
        <x:v>0</x:v>
      </x:c>
      <x:c r="D18" s="6"/>
      <x:c r="E18" s="6"/>
      <x:c r="F18" s="6"/>
      <x:c r="G18" s="6"/>
      <x:c r="H18" s="6"/>
      <x:c r="I18" s="6"/>
      <x:c r="J18" s="6"/>
      <x:c r="K18" s="6"/>
      <x:c r="L18" s="6"/>
    </x:row>
    <x:row r="19" ht="19.5" customHeight="1">
      <x:c r="A19" s="387" t="str">
        <x:f>Tracker!B11</x:f>
        <x:v>Promotion</x:v>
      </x:c>
      <x:c r="B19" s="452" t="str">
        <x:f>Tracker!H11</x:f>
        <x:v>Spend</x:v>
      </x:c>
      <x:c r="C19" s="452" t="str">
        <x:f>Tracker!K11</x:f>
        <x:v>Attributed revenue</x:v>
      </x:c>
      <x:c r="D19" s="6"/>
      <x:c r="E19" s="6"/>
      <x:c r="F19" s="6"/>
      <x:c r="G19" s="6"/>
      <x:c r="H19" s="6"/>
      <x:c r="I19" s="6"/>
      <x:c r="J19" s="6"/>
      <x:c r="K19" s="6"/>
      <x:c r="L19" s="6"/>
    </x:row>
    <x:row r="20" ht="19.5" customHeight="1">
      <x:c r="A20" s="387" t="str">
        <x:f>Tracker!B12</x:f>
        <x:v>Breakfast combo reset</x:v>
      </x:c>
      <x:c r="B20" s="452" t="n">
        <x:f>Tracker!H12</x:f>
        <x:v>3200</x:v>
      </x:c>
      <x:c r="C20" s="452" t="n">
        <x:f>Tracker!K12</x:f>
        <x:v>19800</x:v>
      </x:c>
      <x:c r="D20" s="6"/>
      <x:c r="E20" s="6"/>
      <x:c r="F20" s="6"/>
      <x:c r="G20" s="6"/>
      <x:c r="H20" s="6"/>
      <x:c r="I20" s="6"/>
      <x:c r="J20" s="6"/>
      <x:c r="K20" s="6"/>
      <x:c r="L20" s="6"/>
    </x:row>
    <x:row r="21" ht="19.5" customHeight="1">
      <x:c r="A21" s="387" t="str">
        <x:f>Tracker!B13</x:f>
        <x:v>Valentine dessert duo</x:v>
      </x:c>
      <x:c r="B21" s="452" t="n">
        <x:f>Tracker!H13</x:f>
        <x:v>4200</x:v>
      </x:c>
      <x:c r="C21" s="452" t="n">
        <x:f>Tracker!K13</x:f>
        <x:v>18600</x:v>
      </x:c>
      <x:c r="D21" s="6"/>
      <x:c r="E21" s="6"/>
      <x:c r="F21" s="6"/>
      <x:c r="G21" s="6"/>
      <x:c r="H21" s="6"/>
      <x:c r="I21" s="6"/>
      <x:c r="J21" s="6"/>
      <x:c r="K21" s="6"/>
      <x:c r="L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</x:row>
  </x:sheetData>
  <x:mergeCells>
    <x:mergeCell ref="A1:J2"/>
    <x:mergeCell ref="A3:J4"/>
  </x:mergeCells>
  <x:pageMargins left="0.7" right="0.7" top="0.75" bottom="0.75" header="0.3" footer="0.3"/>
  <x:drawing xmlns:r="http://schemas.openxmlformats.org/officeDocument/2006/relationships" r:id="R9b720895ed044269"/>
</x:worksheet>
</file>