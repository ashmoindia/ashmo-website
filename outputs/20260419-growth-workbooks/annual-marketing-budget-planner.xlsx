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bcbbab0cd4b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1f326a37f8654b92"/>
    <x:sheet xmlns:r="http://schemas.openxmlformats.org/officeDocument/2006/relationships" name="Budget" sheetId="2" r:id="R60ec5f71a7784b25"/>
    <x:sheet xmlns:r="http://schemas.openxmlformats.org/officeDocument/2006/relationships" name="Actuals" sheetId="3" r:id="R70520fd36d6d4da8"/>
    <x:sheet xmlns:r="http://schemas.openxmlformats.org/officeDocument/2006/relationships" name="Dashboard" sheetId="4" r:id="Rcabb05a9a3ee4b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AED&quot; #,##0;[Red]-&quot;AED&quot; #,##0"/>
    <x:numFmt numFmtId="201" formatCode="0.0%"/>
  </x:numFmts>
  <x:fonts count="11">
    <x:font>
      <x:sz val="11"/>
      <x:name val="Carlito"/>
    </x:font>
    <x:font>
      <x:sz val="11"/>
      <x:color rgb="111827"/>
      <x:name val="Carlito"/>
    </x:font>
    <x:font>
      <x:sz val="10"/>
      <x:color rgb="111827"/>
      <x:name val="Carlito"/>
    </x:font>
    <x:font>
      <x:sz val="10"/>
      <x:color rgb="FFFFFF"/>
      <x:name val="Carlito"/>
    </x:font>
    <x:font>
      <x:b/>
      <x:sz val="10"/>
      <x:color rgb="FFFFFF"/>
      <x:name val="Carlito"/>
    </x:font>
    <x:font>
      <x:b/>
      <x:sz val="22"/>
      <x:color rgb="FFFFFF"/>
      <x:name val="Carlito"/>
    </x:font>
    <x:font>
      <x:sz val="10"/>
      <x:color rgb="52606D"/>
      <x:name val="Carlito"/>
    </x:font>
    <x:font>
      <x:b/>
      <x:sz val="10"/>
      <x:color rgb="111827"/>
      <x:name val="Carlito"/>
    </x:font>
    <x:font>
      <x:b/>
      <x:sz val="12"/>
      <x:color rgb="111827"/>
      <x:name val="Carlito"/>
    </x:font>
    <x:font>
      <x:b/>
      <x:sz val="10"/>
      <x:color rgb="52606D"/>
      <x:name val="Carlito"/>
    </x:font>
    <x:font>
      <x:b/>
      <x:sz val="13"/>
      <x:color rgb="11182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7FAFC"/>
      </x:patternFill>
    </x:fill>
    <x:fill>
      <x:patternFill patternType="solid">
        <x:fgColor rgb="0F172A"/>
      </x:patternFill>
    </x:fill>
    <x:fill>
      <x:patternFill patternType="solid">
        <x:fgColor rgb="EEF4F8"/>
      </x:patternFill>
    </x:fill>
    <x:fill>
      <x:patternFill patternType="solid">
        <x:fgColor rgb="FFFFFF"/>
      </x:patternFill>
    </x:fill>
    <x:fill>
      <x:patternFill patternType="solid">
        <x:fgColor rgb="FFF4E5"/>
      </x:patternFill>
    </x:fill>
    <x:fill>
      <x:patternFill patternType="solid">
        <x:fgColor rgb="E7F1FF"/>
      </x:patternFill>
    </x:fill>
    <x:fill>
      <x:patternFill patternType="solid">
        <x:fgColor rgb="EAFBF3"/>
      </x:patternFill>
    </x:fill>
  </x:fills>
  <x:borders count="198">
    <x:border/>
    <x:border/>
    <x:border>
      <x:top/>
    </x:border>
    <x:border>
      <x:top/>
    </x:border>
    <x:border>
      <x:top>
        <x:color indexed="1"/>
      </x:top>
    </x:border>
    <x:border>
      <x:top>
        <x:color indexed="1"/>
      </x:top>
    </x:border>
    <x:border>
      <x:top>
        <x:color indexed="1" rgb="C4D0DD"/>
      </x:top>
    </x:border>
    <x:border>
      <x:top>
        <x:color indexed="1" rgb="C4D0DD"/>
      </x:top>
    </x:border>
    <x:border>
      <x:bottom/>
    </x:border>
    <x:border>
      <x:bottom/>
    </x:border>
    <x:border>
      <x:bottom>
        <x:color indexed="1"/>
      </x:bottom>
    </x:border>
    <x:border>
      <x:bottom>
        <x:color indexed="1"/>
      </x:bottom>
    </x:border>
    <x:border>
      <x:bottom>
        <x:color indexed="1" rgb="C4D0DD"/>
      </x:bottom>
    </x:border>
    <x:border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top>
        <x:color indexed="1" rgb="C4D0DD"/>
      </x:top>
      <x:bottom/>
    </x:border>
    <x:border>
      <x:top>
        <x:color indexed="1" rgb="C4D0DD"/>
      </x:top>
      <x:bottom/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 rgb="C4D0DD"/>
      </x:bottom>
    </x:border>
    <x:border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top>
        <x:color indexed="1" rgb="D9E2EC"/>
      </x:top>
    </x:border>
    <x:border>
      <x:top>
        <x:color indexed="1" rgb="D9E2EC"/>
      </x:top>
    </x:border>
    <x:border>
      <x:top>
        <x:color indexed="1" rgb="D9E2EC"/>
      </x:top>
      <x:bottom/>
    </x:border>
    <x:border>
      <x:top>
        <x:color indexed="1" rgb="D9E2EC"/>
      </x:top>
      <x:bottom/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 rgb="D9E2EC"/>
      </x:bottom>
    </x:border>
    <x:border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bottom>
        <x:color indexed="1" rgb="D9E2EC"/>
      </x:bottom>
    </x:border>
    <x:border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</x:borders>
  <x:cellStyleXfs count="1">
    <x:xf numFmtId="0" fontId="0" fillId="0" borderId="0"/>
  </x:cellStyleXfs>
  <x:cellXfs count="598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6" fillId="4" borderId="13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vertical="center" wrapText="1"/>
    </x:xf>
    <x:xf numFmtId="0" fontId="5" fillId="3" borderId="15" xfId="0" applyNumberFormat="1" applyFont="1" applyFill="1" applyBorder="1" applyAlignment="1">
      <x:alignment vertical="center" wrapText="1"/>
    </x:xf>
    <x:xf numFmtId="0" fontId="6" fillId="4" borderId="15" xfId="0" applyNumberFormat="1" applyFont="1" applyFill="1" applyBorder="1" applyAlignment="1">
      <x:alignment vertical="center" wrapText="1"/>
    </x:xf>
    <x:xf numFmtId="0" fontId="6" fillId="4" borderId="16" xfId="0" applyNumberFormat="1" applyFont="1" applyFill="1" applyBorder="1" applyAlignment="1">
      <x:alignment vertical="center" wrapText="1"/>
    </x:xf>
    <x:xf numFmtId="0" fontId="5" fillId="3" borderId="17" xfId="0" applyNumberFormat="1" applyFont="1" applyFill="1" applyBorder="1" applyAlignment="1">
      <x:alignment vertical="center" wrapText="1"/>
    </x:xf>
    <x:xf numFmtId="0" fontId="5" fillId="3" borderId="18" xfId="0" applyNumberFormat="1" applyFont="1" applyFill="1" applyBorder="1" applyAlignment="1">
      <x:alignment vertical="center" wrapText="1"/>
    </x:xf>
    <x:xf numFmtId="0" fontId="6" fillId="4" borderId="18" xfId="0" applyNumberFormat="1" applyFont="1" applyFill="1" applyBorder="1" applyAlignment="1">
      <x:alignment vertical="center" wrapText="1"/>
    </x:xf>
    <x:xf numFmtId="0" fontId="6" fillId="4" borderId="19" xfId="0" applyNumberFormat="1" applyFont="1" applyFill="1" applyBorder="1" applyAlignment="1">
      <x:alignment vertical="center" wrapText="1"/>
    </x:xf>
    <x:xf numFmtId="0" fontId="5" fillId="3" borderId="20" xfId="0" applyNumberFormat="1" applyFont="1" applyFill="1" applyBorder="1" applyAlignment="1">
      <x:alignment vertical="center" wrapText="1"/>
    </x:xf>
    <x:xf numFmtId="0" fontId="5" fillId="3" borderId="21" xfId="0" applyNumberFormat="1" applyFont="1" applyFill="1" applyBorder="1" applyAlignment="1">
      <x:alignment vertical="center" wrapText="1"/>
    </x:xf>
    <x:xf numFmtId="0" fontId="6" fillId="4" borderId="21" xfId="0" applyNumberFormat="1" applyFont="1" applyFill="1" applyBorder="1" applyAlignment="1">
      <x:alignment vertical="center" wrapText="1"/>
    </x:xf>
    <x:xf numFmtId="0" fontId="6" fillId="4" borderId="22" xfId="0" applyNumberFormat="1" applyFont="1" applyFill="1" applyBorder="1" applyAlignment="1">
      <x:alignment vertical="center" wrapText="1"/>
    </x:xf>
    <x:xf numFmtId="0" fontId="5" fillId="3" borderId="23" xfId="0" applyNumberFormat="1" applyFont="1" applyFill="1" applyBorder="1" applyAlignment="1">
      <x:alignment vertical="center" wrapText="1"/>
    </x:xf>
    <x:xf numFmtId="0" fontId="5" fillId="3" borderId="24" xfId="0" applyNumberFormat="1" applyFont="1" applyFill="1" applyBorder="1" applyAlignment="1">
      <x:alignment vertical="center" wrapText="1"/>
    </x:xf>
    <x:xf numFmtId="0" fontId="6" fillId="4" borderId="24" xfId="0" applyNumberFormat="1" applyFont="1" applyFill="1" applyBorder="1" applyAlignment="1">
      <x:alignment vertical="center" wrapText="1"/>
    </x:xf>
    <x:xf numFmtId="0" fontId="6" fillId="4" borderId="25" xfId="0" applyNumberFormat="1" applyFont="1" applyFill="1" applyBorder="1" applyAlignment="1">
      <x:alignment vertical="center" wrapText="1"/>
    </x:xf>
    <x:xf numFmtId="0" fontId="5" fillId="3" borderId="26" xfId="0" applyNumberFormat="1" applyFont="1" applyFill="1" applyBorder="1" applyAlignment="1">
      <x:alignment vertical="center" wrapText="1"/>
    </x:xf>
    <x:xf numFmtId="0" fontId="5" fillId="3" borderId="27" xfId="0" applyNumberFormat="1" applyFont="1" applyFill="1" applyBorder="1" applyAlignment="1">
      <x:alignment vertical="center" wrapText="1"/>
    </x:xf>
    <x:xf numFmtId="0" fontId="6" fillId="4" borderId="27" xfId="0" applyNumberFormat="1" applyFont="1" applyFill="1" applyBorder="1" applyAlignment="1">
      <x:alignment vertical="center" wrapText="1"/>
    </x:xf>
    <x:xf numFmtId="0" fontId="6" fillId="4" borderId="28" xfId="0" applyNumberFormat="1" applyFont="1" applyFill="1" applyBorder="1" applyAlignment="1">
      <x:alignment vertical="center" wrapText="1"/>
    </x:xf>
    <x:xf numFmtId="0" fontId="5" fillId="3" borderId="29" xfId="0" applyNumberFormat="1" applyFont="1" applyFill="1" applyBorder="1" applyAlignment="1">
      <x:alignment vertical="center" wrapText="1"/>
    </x:xf>
    <x:xf numFmtId="0" fontId="5" fillId="3" borderId="30" xfId="0" applyNumberFormat="1" applyFont="1" applyFill="1" applyBorder="1" applyAlignment="1">
      <x:alignment vertical="center" wrapText="1"/>
    </x:xf>
    <x:xf numFmtId="0" fontId="6" fillId="4" borderId="30" xfId="0" applyNumberFormat="1" applyFont="1" applyFill="1" applyBorder="1" applyAlignment="1">
      <x:alignment vertical="center" wrapText="1"/>
    </x:xf>
    <x:xf numFmtId="0" fontId="6" fillId="4" borderId="31" xfId="0" applyNumberFormat="1" applyFont="1" applyFill="1" applyBorder="1" applyAlignment="1">
      <x:alignment vertical="center" wrapText="1"/>
    </x:xf>
    <x:xf numFmtId="0" fontId="5" fillId="3" borderId="32" xfId="0" applyNumberFormat="1" applyFont="1" applyFill="1" applyBorder="1" applyAlignment="1">
      <x:alignment vertical="center" wrapText="1"/>
    </x:xf>
    <x:xf numFmtId="0" fontId="5" fillId="3" borderId="33" xfId="0" applyNumberFormat="1" applyFont="1" applyFill="1" applyBorder="1" applyAlignment="1">
      <x:alignment vertical="center" wrapText="1"/>
    </x:xf>
    <x:xf numFmtId="0" fontId="6" fillId="4" borderId="33" xfId="0" applyNumberFormat="1" applyFont="1" applyFill="1" applyBorder="1" applyAlignment="1">
      <x:alignment vertical="center" wrapText="1"/>
    </x:xf>
    <x:xf numFmtId="0" fontId="6" fillId="4" borderId="34" xfId="0" applyNumberFormat="1" applyFont="1" applyFill="1" applyBorder="1" applyAlignment="1">
      <x:alignment vertical="center" wrapText="1"/>
    </x:xf>
    <x:xf numFmtId="0" fontId="5" fillId="3" borderId="35" xfId="0" applyNumberFormat="1" applyFont="1" applyFill="1" applyBorder="1" applyAlignment="1">
      <x:alignment vertical="center" wrapText="1"/>
    </x:xf>
    <x:xf numFmtId="0" fontId="5" fillId="3" borderId="36" xfId="0" applyNumberFormat="1" applyFont="1" applyFill="1" applyBorder="1" applyAlignment="1">
      <x:alignment vertical="center" wrapText="1"/>
    </x:xf>
    <x:xf numFmtId="0" fontId="6" fillId="4" borderId="36" xfId="0" applyNumberFormat="1" applyFont="1" applyFill="1" applyBorder="1" applyAlignment="1">
      <x:alignment vertical="center" wrapText="1"/>
    </x:xf>
    <x:xf numFmtId="0" fontId="6" fillId="4" borderId="37" xfId="0" applyNumberFormat="1" applyFont="1" applyFill="1" applyBorder="1" applyAlignment="1">
      <x:alignment vertical="center" wrapText="1"/>
    </x:xf>
    <x:xf numFmtId="0" fontId="5" fillId="3" borderId="38" xfId="0" applyNumberFormat="1" applyFont="1" applyFill="1" applyBorder="1" applyAlignment="1">
      <x:alignment vertical="center" wrapText="1"/>
    </x:xf>
    <x:xf numFmtId="0" fontId="5" fillId="3" borderId="39" xfId="0" applyNumberFormat="1" applyFont="1" applyFill="1" applyBorder="1" applyAlignment="1">
      <x:alignment vertical="center" wrapText="1"/>
    </x:xf>
    <x:xf numFmtId="0" fontId="6" fillId="4" borderId="39" xfId="0" applyNumberFormat="1" applyFont="1" applyFill="1" applyBorder="1" applyAlignment="1">
      <x:alignment vertical="center" wrapText="1"/>
    </x:xf>
    <x:xf numFmtId="0" fontId="6" fillId="4" borderId="40" xfId="0" applyNumberFormat="1" applyFont="1" applyFill="1" applyBorder="1" applyAlignment="1">
      <x:alignment vertical="center" wrapText="1"/>
    </x:xf>
    <x:xf numFmtId="0" fontId="5" fillId="3" borderId="41" xfId="0" applyNumberFormat="1" applyFont="1" applyFill="1" applyBorder="1" applyAlignment="1">
      <x:alignment vertical="center" wrapText="1"/>
    </x:xf>
    <x:xf numFmtId="0" fontId="5" fillId="3" borderId="42" xfId="0" applyNumberFormat="1" applyFont="1" applyFill="1" applyBorder="1" applyAlignment="1">
      <x:alignment vertical="center" wrapText="1"/>
    </x:xf>
    <x:xf numFmtId="0" fontId="6" fillId="4" borderId="42" xfId="0" applyNumberFormat="1" applyFont="1" applyFill="1" applyBorder="1" applyAlignment="1">
      <x:alignment vertical="center" wrapText="1"/>
    </x:xf>
    <x:xf numFmtId="0" fontId="6" fillId="4" borderId="43" xfId="0" applyNumberFormat="1" applyFont="1" applyFill="1" applyBorder="1" applyAlignment="1">
      <x:alignment vertical="center" wrapText="1"/>
    </x:xf>
    <x:xf numFmtId="0" fontId="5" fillId="3" borderId="44" xfId="0" applyNumberFormat="1" applyFont="1" applyFill="1" applyBorder="1" applyAlignment="1">
      <x:alignment vertical="center" wrapText="1"/>
    </x:xf>
    <x:xf numFmtId="0" fontId="5" fillId="3" borderId="45" xfId="0" applyNumberFormat="1" applyFont="1" applyFill="1" applyBorder="1" applyAlignment="1">
      <x:alignment vertical="center" wrapText="1"/>
    </x:xf>
    <x:xf numFmtId="0" fontId="6" fillId="4" borderId="45" xfId="0" applyNumberFormat="1" applyFont="1" applyFill="1" applyBorder="1" applyAlignment="1">
      <x:alignment vertical="center" wrapText="1"/>
    </x:xf>
    <x:xf numFmtId="0" fontId="6" fillId="4" borderId="46" xfId="0" applyNumberFormat="1" applyFont="1" applyFill="1" applyBorder="1" applyAlignment="1">
      <x:alignment vertical="center" wrapText="1"/>
    </x:xf>
    <x:xf numFmtId="0" fontId="5" fillId="3" borderId="47" xfId="0" applyNumberFormat="1" applyFont="1" applyFill="1" applyBorder="1" applyAlignment="1">
      <x:alignment vertical="center" wrapText="1"/>
    </x:xf>
    <x:xf numFmtId="0" fontId="5" fillId="3" borderId="48" xfId="0" applyNumberFormat="1" applyFont="1" applyFill="1" applyBorder="1" applyAlignment="1">
      <x:alignment vertical="center" wrapText="1"/>
    </x:xf>
    <x:xf numFmtId="0" fontId="6" fillId="4" borderId="48" xfId="0" applyNumberFormat="1" applyFont="1" applyFill="1" applyBorder="1" applyAlignment="1">
      <x:alignment vertical="center" wrapText="1"/>
    </x:xf>
    <x:xf numFmtId="0" fontId="6" fillId="4" borderId="49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/>
    <x:xf numFmtId="0" fontId="8" fillId="4" borderId="4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0" fontId="8" fillId="4" borderId="50" xfId="0" applyNumberFormat="1" applyFont="1" applyFill="1" applyBorder="1"/>
    <x:xf numFmtId="0" fontId="8" fillId="4" borderId="51" xfId="0" applyNumberFormat="1" applyFont="1" applyFill="1" applyBorder="1"/>
    <x:xf numFmtId="0" fontId="8" fillId="4" borderId="52" xfId="0" applyNumberFormat="1" applyFont="1" applyFill="1" applyBorder="1"/>
    <x:xf numFmtId="0" fontId="8" fillId="4" borderId="53" xfId="0" applyNumberFormat="1" applyFont="1" applyFill="1" applyBorder="1"/>
    <x:xf numFmtId="0" fontId="8" fillId="4" borderId="54" xfId="0" applyNumberFormat="1" applyFont="1" applyFill="1" applyBorder="1"/>
    <x:xf numFmtId="0" fontId="8" fillId="4" borderId="55" xfId="0" applyNumberFormat="1" applyFont="1" applyFill="1" applyBorder="1"/>
    <x:xf numFmtId="0" fontId="8" fillId="4" borderId="56" xfId="0" applyNumberFormat="1" applyFont="1" applyFill="1" applyBorder="1"/>
    <x:xf numFmtId="0" fontId="8" fillId="4" borderId="57" xfId="0" applyNumberFormat="1" applyFont="1" applyFill="1" applyBorder="1"/>
    <x:xf numFmtId="0" fontId="8" fillId="4" borderId="58" xfId="0" applyNumberFormat="1" applyFont="1" applyFill="1" applyBorder="1"/>
    <x:xf numFmtId="0" fontId="8" fillId="4" borderId="59" xfId="0" applyNumberFormat="1" applyFont="1" applyFill="1" applyBorder="1"/>
    <x:xf numFmtId="0" fontId="8" fillId="4" borderId="60" xfId="0" applyNumberFormat="1" applyFont="1" applyFill="1" applyBorder="1"/>
    <x:xf numFmtId="0" fontId="8" fillId="4" borderId="61" xfId="0" applyNumberFormat="1" applyFont="1" applyFill="1" applyBorder="1"/>
    <x:xf numFmtId="0" fontId="8" fillId="4" borderId="62" xfId="0" applyNumberFormat="1" applyFont="1" applyFill="1" applyBorder="1"/>
    <x:xf numFmtId="0" fontId="8" fillId="4" borderId="63" xfId="0" applyNumberFormat="1" applyFont="1" applyFill="1" applyBorder="1"/>
    <x:xf numFmtId="0" fontId="8" fillId="4" borderId="64" xfId="0" applyNumberFormat="1" applyFont="1" applyFill="1" applyBorder="1"/>
    <x:xf numFmtId="0" fontId="8" fillId="4" borderId="65" xfId="0" applyNumberFormat="1" applyFont="1" applyFill="1" applyBorder="1"/>
    <x:xf numFmtId="0" fontId="8" fillId="4" borderId="66" xfId="0" applyNumberFormat="1" applyFont="1" applyFill="1" applyBorder="1"/>
    <x:xf numFmtId="0" fontId="8" fillId="4" borderId="67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9" fillId="5" borderId="2" xfId="0" applyNumberFormat="1" applyFont="1" applyFill="1" applyBorder="1"/>
    <x:xf numFmtId="0" fontId="2" fillId="6" borderId="2" xfId="0" applyNumberFormat="1" applyFont="1" applyFill="1" applyBorder="1"/>
    <x:xf numFmtId="0" fontId="9" fillId="5" borderId="3" xfId="0" applyNumberFormat="1" applyFont="1" applyFill="1" applyBorder="1"/>
    <x:xf numFmtId="0" fontId="2" fillId="6" borderId="3" xfId="0" applyNumberFormat="1" applyFont="1" applyFill="1" applyBorder="1"/>
    <x:xf numFmtId="0" fontId="9" fillId="5" borderId="4" xfId="0" applyNumberFormat="1" applyFont="1" applyFill="1" applyBorder="1"/>
    <x:xf numFmtId="0" fontId="2" fillId="6" borderId="4" xfId="0" applyNumberFormat="1" applyFont="1" applyFill="1" applyBorder="1"/>
    <x:xf numFmtId="0" fontId="9" fillId="5" borderId="5" xfId="0" applyNumberFormat="1" applyFont="1" applyFill="1" applyBorder="1"/>
    <x:xf numFmtId="0" fontId="2" fillId="6" borderId="5" xfId="0" applyNumberFormat="1" applyFont="1" applyFill="1" applyBorder="1"/>
    <x:xf numFmtId="0" fontId="9" fillId="5" borderId="68" xfId="0" applyNumberFormat="1" applyFont="1" applyFill="1" applyBorder="1"/>
    <x:xf numFmtId="0" fontId="2" fillId="6" borderId="68" xfId="0" applyNumberFormat="1" applyFont="1" applyFill="1" applyBorder="1"/>
    <x:xf numFmtId="0" fontId="9" fillId="5" borderId="69" xfId="0" applyNumberFormat="1" applyFont="1" applyFill="1" applyBorder="1"/>
    <x:xf numFmtId="0" fontId="2" fillId="6" borderId="69" xfId="0" applyNumberFormat="1" applyFont="1" applyFill="1" applyBorder="1"/>
    <x:xf numFmtId="0" fontId="9" fillId="5" borderId="70" xfId="0" applyNumberFormat="1" applyFont="1" applyFill="1" applyBorder="1"/>
    <x:xf numFmtId="0" fontId="2" fillId="6" borderId="70" xfId="0" applyNumberFormat="1" applyFont="1" applyFill="1" applyBorder="1"/>
    <x:xf numFmtId="0" fontId="9" fillId="5" borderId="71" xfId="0" applyNumberFormat="1" applyFont="1" applyFill="1" applyBorder="1"/>
    <x:xf numFmtId="0" fontId="2" fillId="6" borderId="71" xfId="0" applyNumberFormat="1" applyFont="1" applyFill="1" applyBorder="1"/>
    <x:xf numFmtId="0" fontId="9" fillId="5" borderId="72" xfId="0" applyNumberFormat="1" applyFont="1" applyFill="1" applyBorder="1"/>
    <x:xf numFmtId="0" fontId="2" fillId="6" borderId="72" xfId="0" applyNumberFormat="1" applyFont="1" applyFill="1" applyBorder="1"/>
    <x:xf numFmtId="0" fontId="9" fillId="5" borderId="73" xfId="0" applyNumberFormat="1" applyFont="1" applyFill="1" applyBorder="1"/>
    <x:xf numFmtId="0" fontId="2" fillId="6" borderId="73" xfId="0" applyNumberFormat="1" applyFont="1" applyFill="1" applyBorder="1"/>
    <x:xf numFmtId="0" fontId="9" fillId="5" borderId="74" xfId="0" applyNumberFormat="1" applyFont="1" applyFill="1" applyBorder="1"/>
    <x:xf numFmtId="0" fontId="2" fillId="6" borderId="74" xfId="0" applyNumberFormat="1" applyFont="1" applyFill="1" applyBorder="1"/>
    <x:xf numFmtId="0" fontId="9" fillId="5" borderId="75" xfId="0" applyNumberFormat="1" applyFont="1" applyFill="1" applyBorder="1"/>
    <x:xf numFmtId="0" fontId="2" fillId="6" borderId="75" xfId="0" applyNumberFormat="1" applyFont="1" applyFill="1" applyBorder="1"/>
    <x:xf numFmtId="0" fontId="9" fillId="5" borderId="76" xfId="0" applyNumberFormat="1" applyFont="1" applyFill="1" applyBorder="1"/>
    <x:xf numFmtId="0" fontId="9" fillId="5" borderId="77" xfId="0" applyNumberFormat="1" applyFont="1" applyFill="1" applyBorder="1"/>
    <x:xf numFmtId="0" fontId="9" fillId="5" borderId="78" xfId="0" applyNumberFormat="1" applyFont="1" applyFill="1" applyBorder="1"/>
    <x:xf numFmtId="0" fontId="9" fillId="5" borderId="79" xfId="0" applyNumberFormat="1" applyFont="1" applyFill="1" applyBorder="1"/>
    <x:xf numFmtId="0" fontId="9" fillId="5" borderId="80" xfId="0" applyNumberFormat="1" applyFont="1" applyFill="1" applyBorder="1"/>
    <x:xf numFmtId="0" fontId="9" fillId="5" borderId="81" xfId="0" applyNumberFormat="1" applyFont="1" applyFill="1" applyBorder="1"/>
    <x:xf numFmtId="0" fontId="2" fillId="6" borderId="82" xfId="0" applyNumberFormat="1" applyFont="1" applyFill="1" applyBorder="1"/>
    <x:xf numFmtId="0" fontId="2" fillId="6" borderId="83" xfId="0" applyNumberFormat="1" applyFont="1" applyFill="1" applyBorder="1"/>
    <x:xf numFmtId="0" fontId="2" fillId="6" borderId="84" xfId="0" applyNumberFormat="1" applyFont="1" applyFill="1" applyBorder="1"/>
    <x:xf numFmtId="0" fontId="2" fillId="6" borderId="85" xfId="0" applyNumberFormat="1" applyFont="1" applyFill="1" applyBorder="1"/>
    <x:xf numFmtId="0" fontId="2" fillId="6" borderId="86" xfId="0" applyNumberFormat="1" applyFont="1" applyFill="1" applyBorder="1"/>
    <x:xf numFmtId="0" fontId="2" fillId="6" borderId="87" xfId="0" applyNumberFormat="1" applyFont="1" applyFill="1" applyBorder="1"/>
    <x:xf numFmtId="0" fontId="9" fillId="5" borderId="88" xfId="0" applyNumberFormat="1" applyFont="1" applyFill="1" applyBorder="1"/>
    <x:xf numFmtId="0" fontId="2" fillId="6" borderId="89" xfId="0" applyNumberFormat="1" applyFont="1" applyFill="1" applyBorder="1"/>
    <x:xf numFmtId="0" fontId="9" fillId="5" borderId="90" xfId="0" applyNumberFormat="1" applyFont="1" applyFill="1" applyBorder="1"/>
    <x:xf numFmtId="0" fontId="2" fillId="6" borderId="91" xfId="0" applyNumberFormat="1" applyFont="1" applyFill="1" applyBorder="1"/>
    <x:xf numFmtId="0" fontId="9" fillId="5" borderId="92" xfId="0" applyNumberFormat="1" applyFont="1" applyFill="1" applyBorder="1"/>
    <x:xf numFmtId="0" fontId="2" fillId="6" borderId="93" xfId="0" applyNumberFormat="1" applyFont="1" applyFill="1" applyBorder="1"/>
    <x:xf numFmtId="0" fontId="9" fillId="5" borderId="94" xfId="0" applyNumberFormat="1" applyFont="1" applyFill="1" applyBorder="1"/>
    <x:xf numFmtId="0" fontId="2" fillId="6" borderId="95" xfId="0" applyNumberFormat="1" applyFont="1" applyFill="1" applyBorder="1"/>
    <x:xf numFmtId="0" fontId="9" fillId="5" borderId="96" xfId="0" applyNumberFormat="1" applyFont="1" applyFill="1" applyBorder="1"/>
    <x:xf numFmtId="0" fontId="2" fillId="6" borderId="96" xfId="0" applyNumberFormat="1" applyFont="1" applyFill="1" applyBorder="1"/>
    <x:xf numFmtId="0" fontId="9" fillId="5" borderId="97" xfId="0" applyNumberFormat="1" applyFont="1" applyFill="1" applyBorder="1"/>
    <x:xf numFmtId="0" fontId="2" fillId="6" borderId="97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11" xfId="0" applyNumberFormat="1" applyFont="1" applyFill="1" applyBorder="1" applyAlignment="1">
      <x:alignment wrapText="1"/>
    </x:xf>
    <x:xf numFmtId="0" fontId="2" fillId="5" borderId="98" xfId="0" applyNumberFormat="1" applyFont="1" applyFill="1" applyBorder="1" applyAlignment="1">
      <x:alignment wrapText="1"/>
    </x:xf>
    <x:xf numFmtId="0" fontId="2" fillId="5" borderId="99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6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/>
    <x:xf numFmtId="0" fontId="2" fillId="5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/>
    <x:xf numFmtId="0" fontId="2" fillId="5" borderId="5" xfId="0" applyNumberFormat="1" applyFont="1" applyFill="1" applyBorder="1" applyAlignment="1">
      <x:alignment wrapText="1"/>
    </x:xf>
    <x:xf numFmtId="0" fontId="7" fillId="6" borderId="68" xfId="0" applyNumberFormat="1" applyFont="1" applyFill="1" applyBorder="1"/>
    <x:xf numFmtId="0" fontId="2" fillId="5" borderId="68" xfId="0" applyNumberFormat="1" applyFont="1" applyFill="1" applyBorder="1" applyAlignment="1">
      <x:alignment wrapText="1"/>
    </x:xf>
    <x:xf numFmtId="0" fontId="7" fillId="6" borderId="69" xfId="0" applyNumberFormat="1" applyFont="1" applyFill="1" applyBorder="1"/>
    <x:xf numFmtId="0" fontId="2" fillId="5" borderId="69" xfId="0" applyNumberFormat="1" applyFont="1" applyFill="1" applyBorder="1" applyAlignment="1">
      <x:alignment wrapText="1"/>
    </x:xf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11" xfId="0" applyNumberFormat="1" applyFont="1" applyFill="1" applyBorder="1"/>
    <x:xf numFmtId="0" fontId="7" fillId="8" borderId="98" xfId="0" applyNumberFormat="1" applyFont="1" applyFill="1" applyBorder="1"/>
    <x:xf numFmtId="0" fontId="7" fillId="8" borderId="99" xfId="0" applyNumberFormat="1" applyFont="1" applyFill="1" applyBorder="1"/>
    <x:xf numFmtId="0" fontId="7" fillId="6" borderId="100" xfId="0" applyNumberFormat="1" applyFont="1" applyFill="1" applyBorder="1"/>
    <x:xf numFmtId="0" fontId="7" fillId="7" borderId="15" xfId="0" applyNumberFormat="1" applyFont="1" applyFill="1" applyBorder="1"/>
    <x:xf numFmtId="0" fontId="7" fillId="8" borderId="101" xfId="0" applyNumberFormat="1" applyFont="1" applyFill="1" applyBorder="1"/>
    <x:xf numFmtId="0" fontId="7" fillId="6" borderId="102" xfId="0" applyNumberFormat="1" applyFont="1" applyFill="1" applyBorder="1"/>
    <x:xf numFmtId="0" fontId="7" fillId="7" borderId="18" xfId="0" applyNumberFormat="1" applyFont="1" applyFill="1" applyBorder="1"/>
    <x:xf numFmtId="0" fontId="7" fillId="8" borderId="103" xfId="0" applyNumberFormat="1" applyFont="1" applyFill="1" applyBorder="1"/>
    <x:xf numFmtId="0" fontId="7" fillId="6" borderId="104" xfId="0" applyNumberFormat="1" applyFont="1" applyFill="1" applyBorder="1"/>
    <x:xf numFmtId="0" fontId="7" fillId="7" borderId="21" xfId="0" applyNumberFormat="1" applyFont="1" applyFill="1" applyBorder="1"/>
    <x:xf numFmtId="0" fontId="7" fillId="8" borderId="105" xfId="0" applyNumberFormat="1" applyFont="1" applyFill="1" applyBorder="1"/>
    <x:xf numFmtId="0" fontId="7" fillId="6" borderId="106" xfId="0" applyNumberFormat="1" applyFont="1" applyFill="1" applyBorder="1"/>
    <x:xf numFmtId="0" fontId="7" fillId="7" borderId="24" xfId="0" applyNumberFormat="1" applyFont="1" applyFill="1" applyBorder="1"/>
    <x:xf numFmtId="0" fontId="7" fillId="8" borderId="107" xfId="0" applyNumberFormat="1" applyFont="1" applyFill="1" applyBorder="1"/>
    <x:xf numFmtId="0" fontId="7" fillId="6" borderId="108" xfId="0" applyNumberFormat="1" applyFont="1" applyFill="1" applyBorder="1"/>
    <x:xf numFmtId="0" fontId="7" fillId="7" borderId="109" xfId="0" applyNumberFormat="1" applyFont="1" applyFill="1" applyBorder="1"/>
    <x:xf numFmtId="0" fontId="7" fillId="8" borderId="110" xfId="0" applyNumberFormat="1" applyFont="1" applyFill="1" applyBorder="1"/>
    <x:xf numFmtId="0" fontId="7" fillId="6" borderId="111" xfId="0" applyNumberFormat="1" applyFont="1" applyFill="1" applyBorder="1"/>
    <x:xf numFmtId="0" fontId="7" fillId="7" borderId="112" xfId="0" applyNumberFormat="1" applyFont="1" applyFill="1" applyBorder="1"/>
    <x:xf numFmtId="0" fontId="7" fillId="8" borderId="113" xfId="0" applyNumberFormat="1" applyFont="1" applyFill="1" applyBorder="1"/>
    <x:xf numFmtId="0" fontId="2" fillId="5" borderId="114" xfId="0" applyNumberFormat="1" applyFont="1" applyFill="1" applyBorder="1" applyAlignment="1">
      <x:alignment wrapText="1"/>
    </x:xf>
    <x:xf numFmtId="0" fontId="2" fillId="5" borderId="33" xfId="0" applyNumberFormat="1" applyFont="1" applyFill="1" applyBorder="1" applyAlignment="1">
      <x:alignment wrapText="1"/>
    </x:xf>
    <x:xf numFmtId="0" fontId="2" fillId="5" borderId="115" xfId="0" applyNumberFormat="1" applyFont="1" applyFill="1" applyBorder="1" applyAlignment="1">
      <x:alignment wrapText="1"/>
    </x:xf>
    <x:xf numFmtId="0" fontId="2" fillId="5" borderId="116" xfId="0" applyNumberFormat="1" applyFont="1" applyFill="1" applyBorder="1" applyAlignment="1">
      <x:alignment wrapText="1"/>
    </x:xf>
    <x:xf numFmtId="0" fontId="2" fillId="5" borderId="36" xfId="0" applyNumberFormat="1" applyFont="1" applyFill="1" applyBorder="1" applyAlignment="1">
      <x:alignment wrapText="1"/>
    </x:xf>
    <x:xf numFmtId="0" fontId="2" fillId="5" borderId="117" xfId="0" applyNumberFormat="1" applyFont="1" applyFill="1" applyBorder="1" applyAlignment="1">
      <x:alignment wrapText="1"/>
    </x:xf>
    <x:xf numFmtId="0" fontId="2" fillId="5" borderId="118" xfId="0" applyNumberFormat="1" applyFont="1" applyFill="1" applyBorder="1" applyAlignment="1">
      <x:alignment wrapText="1"/>
    </x:xf>
    <x:xf numFmtId="0" fontId="2" fillId="5" borderId="39" xfId="0" applyNumberFormat="1" applyFont="1" applyFill="1" applyBorder="1" applyAlignment="1">
      <x:alignment wrapText="1"/>
    </x:xf>
    <x:xf numFmtId="0" fontId="2" fillId="5" borderId="119" xfId="0" applyNumberFormat="1" applyFont="1" applyFill="1" applyBorder="1" applyAlignment="1">
      <x:alignment wrapText="1"/>
    </x:xf>
    <x:xf numFmtId="0" fontId="2" fillId="5" borderId="120" xfId="0" applyNumberFormat="1" applyFont="1" applyFill="1" applyBorder="1" applyAlignment="1">
      <x:alignment wrapText="1"/>
    </x:xf>
    <x:xf numFmtId="0" fontId="2" fillId="5" borderId="42" xfId="0" applyNumberFormat="1" applyFont="1" applyFill="1" applyBorder="1" applyAlignment="1">
      <x:alignment wrapText="1"/>
    </x:xf>
    <x:xf numFmtId="0" fontId="2" fillId="5" borderId="121" xfId="0" applyNumberFormat="1" applyFont="1" applyFill="1" applyBorder="1" applyAlignment="1">
      <x:alignment wrapText="1"/>
    </x:xf>
    <x:xf numFmtId="0" fontId="2" fillId="5" borderId="122" xfId="0" applyNumberFormat="1" applyFont="1" applyFill="1" applyBorder="1" applyAlignment="1">
      <x:alignment wrapText="1"/>
    </x:xf>
    <x:xf numFmtId="0" fontId="2" fillId="5" borderId="123" xfId="0" applyNumberFormat="1" applyFont="1" applyFill="1" applyBorder="1" applyAlignment="1">
      <x:alignment wrapText="1"/>
    </x:xf>
    <x:xf numFmtId="0" fontId="2" fillId="5" borderId="124" xfId="0" applyNumberFormat="1" applyFont="1" applyFill="1" applyBorder="1" applyAlignment="1">
      <x:alignment wrapText="1"/>
    </x:xf>
    <x:xf numFmtId="0" fontId="2" fillId="5" borderId="125" xfId="0" applyNumberFormat="1" applyFont="1" applyFill="1" applyBorder="1" applyAlignment="1">
      <x:alignment wrapText="1"/>
    </x:xf>
    <x:xf numFmtId="0" fontId="2" fillId="5" borderId="126" xfId="0" applyNumberFormat="1" applyFont="1" applyFill="1" applyBorder="1" applyAlignment="1">
      <x:alignment wrapText="1"/>
    </x:xf>
    <x:xf numFmtId="0" fontId="2" fillId="5" borderId="127" xfId="0" applyNumberFormat="1" applyFont="1" applyFill="1" applyBorder="1" applyAlignment="1">
      <x:alignment wrapText="1"/>
    </x:xf>
    <x:xf numFmtId="0" fontId="7" fillId="6" borderId="128" xfId="0" applyNumberFormat="1" applyFont="1" applyFill="1" applyBorder="1"/>
    <x:xf numFmtId="0" fontId="2" fillId="5" borderId="129" xfId="0" applyNumberFormat="1" applyFont="1" applyFill="1" applyBorder="1" applyAlignment="1">
      <x:alignment wrapText="1"/>
    </x:xf>
    <x:xf numFmtId="0" fontId="7" fillId="7" borderId="130" xfId="0" applyNumberFormat="1" applyFont="1" applyFill="1" applyBorder="1"/>
    <x:xf numFmtId="0" fontId="2" fillId="5" borderId="131" xfId="0" applyNumberFormat="1" applyFont="1" applyFill="1" applyBorder="1" applyAlignment="1">
      <x:alignment wrapText="1"/>
    </x:xf>
    <x:xf numFmtId="0" fontId="7" fillId="8" borderId="132" xfId="0" applyNumberFormat="1" applyFont="1" applyFill="1" applyBorder="1"/>
    <x:xf numFmtId="0" fontId="2" fillId="5" borderId="133" xfId="0" applyNumberFormat="1" applyFont="1" applyFill="1" applyBorder="1" applyAlignment="1">
      <x:alignment wrapText="1"/>
    </x:xf>
    <x:xf numFmtId="0" fontId="7" fillId="6" borderId="134" xfId="0" applyNumberFormat="1" applyFont="1" applyFill="1" applyBorder="1"/>
    <x:xf numFmtId="0" fontId="2" fillId="5" borderId="135" xfId="0" applyNumberFormat="1" applyFont="1" applyFill="1" applyBorder="1" applyAlignment="1">
      <x:alignment wrapText="1"/>
    </x:xf>
    <x:xf numFmtId="0" fontId="7" fillId="7" borderId="136" xfId="0" applyNumberFormat="1" applyFont="1" applyFill="1" applyBorder="1"/>
    <x:xf numFmtId="0" fontId="2" fillId="5" borderId="137" xfId="0" applyNumberFormat="1" applyFont="1" applyFill="1" applyBorder="1" applyAlignment="1">
      <x:alignment wrapText="1"/>
    </x:xf>
    <x:xf numFmtId="0" fontId="7" fillId="8" borderId="138" xfId="0" applyNumberFormat="1" applyFont="1" applyFill="1" applyBorder="1"/>
    <x:xf numFmtId="0" fontId="2" fillId="5" borderId="139" xfId="0" applyNumberFormat="1" applyFont="1" applyFill="1" applyBorder="1" applyAlignment="1">
      <x:alignment wrapText="1"/>
    </x:xf>
    <x:xf numFmtId="0" fontId="7" fillId="6" borderId="140" xfId="0" applyNumberFormat="1" applyFont="1" applyFill="1" applyBorder="1"/>
    <x:xf numFmtId="0" fontId="2" fillId="5" borderId="141" xfId="0" applyNumberFormat="1" applyFont="1" applyFill="1" applyBorder="1" applyAlignment="1">
      <x:alignment wrapText="1"/>
    </x:xf>
    <x:xf numFmtId="0" fontId="7" fillId="7" borderId="142" xfId="0" applyNumberFormat="1" applyFont="1" applyFill="1" applyBorder="1"/>
    <x:xf numFmtId="0" fontId="2" fillId="5" borderId="143" xfId="0" applyNumberFormat="1" applyFont="1" applyFill="1" applyBorder="1" applyAlignment="1">
      <x:alignment wrapText="1"/>
    </x:xf>
    <x:xf numFmtId="0" fontId="7" fillId="8" borderId="144" xfId="0" applyNumberFormat="1" applyFont="1" applyFill="1" applyBorder="1"/>
    <x:xf numFmtId="0" fontId="2" fillId="5" borderId="145" xfId="0" applyNumberFormat="1" applyFont="1" applyFill="1" applyBorder="1" applyAlignment="1">
      <x:alignment wrapText="1"/>
    </x:xf>
    <x:xf numFmtId="0" fontId="7" fillId="6" borderId="146" xfId="0" applyNumberFormat="1" applyFont="1" applyFill="1" applyBorder="1"/>
    <x:xf numFmtId="0" fontId="2" fillId="5" borderId="147" xfId="0" applyNumberFormat="1" applyFont="1" applyFill="1" applyBorder="1" applyAlignment="1">
      <x:alignment wrapText="1"/>
    </x:xf>
    <x:xf numFmtId="0" fontId="7" fillId="7" borderId="148" xfId="0" applyNumberFormat="1" applyFont="1" applyFill="1" applyBorder="1"/>
    <x:xf numFmtId="0" fontId="2" fillId="5" borderId="149" xfId="0" applyNumberFormat="1" applyFont="1" applyFill="1" applyBorder="1" applyAlignment="1">
      <x:alignment wrapText="1"/>
    </x:xf>
    <x:xf numFmtId="0" fontId="7" fillId="8" borderId="150" xfId="0" applyNumberFormat="1" applyFont="1" applyFill="1" applyBorder="1"/>
    <x:xf numFmtId="0" fontId="2" fillId="5" borderId="151" xfId="0" applyNumberFormat="1" applyFont="1" applyFill="1" applyBorder="1" applyAlignment="1">
      <x:alignment wrapText="1"/>
    </x:xf>
    <x:xf numFmtId="0" fontId="7" fillId="6" borderId="80" xfId="0" applyNumberFormat="1" applyFont="1" applyFill="1" applyBorder="1"/>
    <x:xf numFmtId="0" fontId="2" fillId="5" borderId="86" xfId="0" applyNumberFormat="1" applyFont="1" applyFill="1" applyBorder="1" applyAlignment="1">
      <x:alignment wrapText="1"/>
    </x:xf>
    <x:xf numFmtId="0" fontId="7" fillId="7" borderId="80" xfId="0" applyNumberFormat="1" applyFont="1" applyFill="1" applyBorder="1"/>
    <x:xf numFmtId="0" fontId="7" fillId="8" borderId="80" xfId="0" applyNumberFormat="1" applyFont="1" applyFill="1" applyBorder="1"/>
    <x:xf numFmtId="0" fontId="7" fillId="6" borderId="81" xfId="0" applyNumberFormat="1" applyFont="1" applyFill="1" applyBorder="1"/>
    <x:xf numFmtId="0" fontId="2" fillId="5" borderId="87" xfId="0" applyNumberFormat="1" applyFont="1" applyFill="1" applyBorder="1" applyAlignment="1">
      <x:alignment wrapText="1"/>
    </x:xf>
    <x:xf numFmtId="0" fontId="7" fillId="7" borderId="81" xfId="0" applyNumberFormat="1" applyFont="1" applyFill="1" applyBorder="1"/>
    <x:xf numFmtId="0" fontId="7" fillId="8" borderId="81" xfId="0" applyNumberFormat="1" applyFont="1" applyFill="1" applyBorder="1"/>
    <x:xf numFmtId="0" fontId="7" fillId="6" borderId="88" xfId="0" applyNumberFormat="1" applyFont="1" applyFill="1" applyBorder="1"/>
    <x:xf numFmtId="0" fontId="2" fillId="5" borderId="89" xfId="0" applyNumberFormat="1" applyFont="1" applyFill="1" applyBorder="1" applyAlignment="1">
      <x:alignment wrapText="1"/>
    </x:xf>
    <x:xf numFmtId="0" fontId="7" fillId="7" borderId="88" xfId="0" applyNumberFormat="1" applyFont="1" applyFill="1" applyBorder="1"/>
    <x:xf numFmtId="0" fontId="7" fillId="8" borderId="88" xfId="0" applyNumberFormat="1" applyFont="1" applyFill="1" applyBorder="1"/>
    <x:xf numFmtId="0" fontId="7" fillId="6" borderId="90" xfId="0" applyNumberFormat="1" applyFont="1" applyFill="1" applyBorder="1"/>
    <x:xf numFmtId="0" fontId="2" fillId="5" borderId="91" xfId="0" applyNumberFormat="1" applyFont="1" applyFill="1" applyBorder="1" applyAlignment="1">
      <x:alignment wrapText="1"/>
    </x:xf>
    <x:xf numFmtId="0" fontId="7" fillId="7" borderId="90" xfId="0" applyNumberFormat="1" applyFont="1" applyFill="1" applyBorder="1"/>
    <x:xf numFmtId="0" fontId="7" fillId="8" borderId="90" xfId="0" applyNumberFormat="1" applyFont="1" applyFill="1" applyBorder="1"/>
    <x:xf numFmtId="0" fontId="7" fillId="6" borderId="92" xfId="0" applyNumberFormat="1" applyFont="1" applyFill="1" applyBorder="1"/>
    <x:xf numFmtId="0" fontId="2" fillId="5" borderId="93" xfId="0" applyNumberFormat="1" applyFont="1" applyFill="1" applyBorder="1" applyAlignment="1">
      <x:alignment wrapText="1"/>
    </x:xf>
    <x:xf numFmtId="0" fontId="7" fillId="7" borderId="92" xfId="0" applyNumberFormat="1" applyFont="1" applyFill="1" applyBorder="1"/>
    <x:xf numFmtId="0" fontId="7" fillId="8" borderId="92" xfId="0" applyNumberFormat="1" applyFont="1" applyFill="1" applyBorder="1"/>
    <x:xf numFmtId="0" fontId="7" fillId="6" borderId="94" xfId="0" applyNumberFormat="1" applyFont="1" applyFill="1" applyBorder="1"/>
    <x:xf numFmtId="0" fontId="2" fillId="5" borderId="95" xfId="0" applyNumberFormat="1" applyFont="1" applyFill="1" applyBorder="1" applyAlignment="1">
      <x:alignment wrapText="1"/>
    </x:xf>
    <x:xf numFmtId="0" fontId="7" fillId="7" borderId="94" xfId="0" applyNumberFormat="1" applyFont="1" applyFill="1" applyBorder="1"/>
    <x:xf numFmtId="0" fontId="7" fillId="8" borderId="94" xfId="0" applyNumberFormat="1" applyFont="1" applyFill="1" applyBorder="1"/>
    <x:xf numFmtId="0" fontId="7" fillId="6" borderId="96" xfId="0" applyNumberFormat="1" applyFont="1" applyFill="1" applyBorder="1"/>
    <x:xf numFmtId="0" fontId="2" fillId="5" borderId="96" xfId="0" applyNumberFormat="1" applyFont="1" applyFill="1" applyBorder="1" applyAlignment="1">
      <x:alignment wrapText="1"/>
    </x:xf>
    <x:xf numFmtId="0" fontId="7" fillId="7" borderId="96" xfId="0" applyNumberFormat="1" applyFont="1" applyFill="1" applyBorder="1"/>
    <x:xf numFmtId="0" fontId="7" fillId="8" borderId="96" xfId="0" applyNumberFormat="1" applyFont="1" applyFill="1" applyBorder="1"/>
    <x:xf numFmtId="0" fontId="7" fillId="6" borderId="97" xfId="0" applyNumberFormat="1" applyFont="1" applyFill="1" applyBorder="1"/>
    <x:xf numFmtId="0" fontId="2" fillId="5" borderId="97" xfId="0" applyNumberFormat="1" applyFont="1" applyFill="1" applyBorder="1" applyAlignment="1">
      <x:alignment wrapText="1"/>
    </x:xf>
    <x:xf numFmtId="0" fontId="7" fillId="7" borderId="97" xfId="0" applyNumberFormat="1" applyFont="1" applyFill="1" applyBorder="1"/>
    <x:xf numFmtId="0" fontId="7" fillId="8" borderId="97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2" fillId="5" borderId="12" xfId="0" applyNumberFormat="1" applyFont="1" applyFill="1" applyBorder="1" applyAlignment="1">
      <x:alignment wrapText="1"/>
    </x:xf>
    <x:xf numFmtId="0" fontId="2" fillId="5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wrapText="1"/>
    </x:xf>
    <x:xf numFmtId="0" fontId="2" fillId="5" borderId="16" xfId="0" applyNumberFormat="1" applyFont="1" applyFill="1" applyBorder="1" applyAlignment="1">
      <x:alignment wrapText="1"/>
    </x:xf>
    <x:xf numFmtId="0" fontId="4" fillId="3" borderId="17" xfId="0" applyNumberFormat="1" applyFont="1" applyFill="1" applyBorder="1" applyAlignment="1">
      <x:alignment wrapText="1"/>
    </x:xf>
    <x:xf numFmtId="0" fontId="2" fillId="5" borderId="18" xfId="0" applyNumberFormat="1" applyFont="1" applyFill="1" applyBorder="1" applyAlignment="1">
      <x:alignment wrapText="1"/>
    </x:xf>
    <x:xf numFmtId="0" fontId="2" fillId="5" borderId="19" xfId="0" applyNumberFormat="1" applyFont="1" applyFill="1" applyBorder="1" applyAlignment="1">
      <x:alignment wrapText="1"/>
    </x:xf>
    <x:xf numFmtId="0" fontId="4" fillId="3" borderId="20" xfId="0" applyNumberFormat="1" applyFont="1" applyFill="1" applyBorder="1" applyAlignment="1">
      <x:alignment wrapText="1"/>
    </x:xf>
    <x:xf numFmtId="0" fontId="2" fillId="5" borderId="21" xfId="0" applyNumberFormat="1" applyFont="1" applyFill="1" applyBorder="1" applyAlignment="1">
      <x:alignment wrapText="1"/>
    </x:xf>
    <x:xf numFmtId="0" fontId="2" fillId="5" borderId="22" xfId="0" applyNumberFormat="1" applyFont="1" applyFill="1" applyBorder="1" applyAlignment="1">
      <x:alignment wrapText="1"/>
    </x:xf>
    <x:xf numFmtId="0" fontId="4" fillId="3" borderId="23" xfId="0" applyNumberFormat="1" applyFont="1" applyFill="1" applyBorder="1" applyAlignment="1">
      <x:alignment wrapText="1"/>
    </x:xf>
    <x:xf numFmtId="0" fontId="2" fillId="5" borderId="24" xfId="0" applyNumberFormat="1" applyFont="1" applyFill="1" applyBorder="1" applyAlignment="1">
      <x:alignment wrapText="1"/>
    </x:xf>
    <x:xf numFmtId="0" fontId="2" fillId="5" borderId="25" xfId="0" applyNumberFormat="1" applyFont="1" applyFill="1" applyBorder="1" applyAlignment="1">
      <x:alignment wrapText="1"/>
    </x:xf>
    <x:xf numFmtId="0" fontId="4" fillId="3" borderId="26" xfId="0" applyNumberFormat="1" applyFont="1" applyFill="1" applyBorder="1" applyAlignment="1">
      <x:alignment wrapText="1"/>
    </x:xf>
    <x:xf numFmtId="0" fontId="2" fillId="5" borderId="27" xfId="0" applyNumberFormat="1" applyFont="1" applyFill="1" applyBorder="1" applyAlignment="1">
      <x:alignment wrapText="1"/>
    </x:xf>
    <x:xf numFmtId="0" fontId="2" fillId="5" borderId="28" xfId="0" applyNumberFormat="1" applyFont="1" applyFill="1" applyBorder="1" applyAlignment="1">
      <x:alignment wrapText="1"/>
    </x:xf>
    <x:xf numFmtId="0" fontId="4" fillId="3" borderId="29" xfId="0" applyNumberFormat="1" applyFont="1" applyFill="1" applyBorder="1" applyAlignment="1">
      <x:alignment wrapText="1"/>
    </x:xf>
    <x:xf numFmtId="0" fontId="2" fillId="5" borderId="30" xfId="0" applyNumberFormat="1" applyFont="1" applyFill="1" applyBorder="1" applyAlignment="1">
      <x:alignment wrapText="1"/>
    </x:xf>
    <x:xf numFmtId="0" fontId="2" fillId="5" borderId="31" xfId="0" applyNumberFormat="1" applyFont="1" applyFill="1" applyBorder="1" applyAlignment="1">
      <x:alignment wrapText="1"/>
    </x:xf>
    <x:xf numFmtId="0" fontId="4" fillId="3" borderId="32" xfId="0" applyNumberFormat="1" applyFont="1" applyFill="1" applyBorder="1" applyAlignment="1">
      <x:alignment wrapText="1"/>
    </x:xf>
    <x:xf numFmtId="0" fontId="2" fillId="5" borderId="34" xfId="0" applyNumberFormat="1" applyFont="1" applyFill="1" applyBorder="1" applyAlignment="1">
      <x:alignment wrapText="1"/>
    </x:xf>
    <x:xf numFmtId="0" fontId="4" fillId="3" borderId="35" xfId="0" applyNumberFormat="1" applyFont="1" applyFill="1" applyBorder="1" applyAlignment="1">
      <x:alignment wrapText="1"/>
    </x:xf>
    <x:xf numFmtId="0" fontId="2" fillId="5" borderId="37" xfId="0" applyNumberFormat="1" applyFont="1" applyFill="1" applyBorder="1" applyAlignment="1">
      <x:alignment wrapText="1"/>
    </x:xf>
    <x:xf numFmtId="0" fontId="4" fillId="3" borderId="38" xfId="0" applyNumberFormat="1" applyFont="1" applyFill="1" applyBorder="1" applyAlignment="1">
      <x:alignment wrapText="1"/>
    </x:xf>
    <x:xf numFmtId="0" fontId="2" fillId="5" borderId="40" xfId="0" applyNumberFormat="1" applyFont="1" applyFill="1" applyBorder="1" applyAlignment="1">
      <x:alignment wrapText="1"/>
    </x:xf>
    <x:xf numFmtId="0" fontId="4" fillId="3" borderId="41" xfId="0" applyNumberFormat="1" applyFont="1" applyFill="1" applyBorder="1" applyAlignment="1">
      <x:alignment wrapText="1"/>
    </x:xf>
    <x:xf numFmtId="0" fontId="2" fillId="5" borderId="43" xfId="0" applyNumberFormat="1" applyFont="1" applyFill="1" applyBorder="1" applyAlignment="1">
      <x:alignment wrapText="1"/>
    </x:xf>
    <x:xf numFmtId="0" fontId="4" fillId="3" borderId="44" xfId="0" applyNumberFormat="1" applyFont="1" applyFill="1" applyBorder="1" applyAlignment="1">
      <x:alignment wrapText="1"/>
    </x:xf>
    <x:xf numFmtId="0" fontId="2" fillId="5" borderId="45" xfId="0" applyNumberFormat="1" applyFont="1" applyFill="1" applyBorder="1" applyAlignment="1">
      <x:alignment wrapText="1"/>
    </x:xf>
    <x:xf numFmtId="0" fontId="2" fillId="5" borderId="46" xfId="0" applyNumberFormat="1" applyFont="1" applyFill="1" applyBorder="1" applyAlignment="1">
      <x:alignment wrapText="1"/>
    </x:xf>
    <x:xf numFmtId="0" fontId="4" fillId="3" borderId="47" xfId="0" applyNumberFormat="1" applyFont="1" applyFill="1" applyBorder="1" applyAlignment="1">
      <x:alignment wrapText="1"/>
    </x:xf>
    <x:xf numFmtId="0" fontId="2" fillId="5" borderId="48" xfId="0" applyNumberFormat="1" applyFont="1" applyFill="1" applyBorder="1" applyAlignment="1">
      <x:alignment wrapText="1"/>
    </x:xf>
    <x:xf numFmtId="0" fontId="2" fillId="5" borderId="49" xfId="0" applyNumberFormat="1" applyFont="1" applyFill="1" applyBorder="1" applyAlignment="1">
      <x:alignment wrapText="1"/>
    </x:xf>
    <x:xf numFmtId="0" fontId="4" fillId="3" borderId="152" xfId="0" applyNumberFormat="1" applyFont="1" applyFill="1" applyBorder="1" applyAlignment="1">
      <x:alignment wrapText="1"/>
    </x:xf>
    <x:xf numFmtId="0" fontId="4" fillId="3" borderId="153" xfId="0" applyNumberFormat="1" applyFont="1" applyFill="1" applyBorder="1" applyAlignment="1">
      <x:alignment wrapText="1"/>
    </x:xf>
    <x:xf numFmtId="0" fontId="2" fillId="5" borderId="154" xfId="0" applyNumberFormat="1" applyFont="1" applyFill="1" applyBorder="1" applyAlignment="1">
      <x:alignment wrapText="1"/>
    </x:xf>
    <x:xf numFmtId="0" fontId="2" fillId="5" borderId="155" xfId="0" applyNumberFormat="1" applyFont="1" applyFill="1" applyBorder="1" applyAlignment="1">
      <x:alignment wrapText="1"/>
    </x:xf>
    <x:xf numFmtId="0" fontId="2" fillId="5" borderId="156" xfId="0" applyNumberFormat="1" applyFont="1" applyFill="1" applyBorder="1" applyAlignment="1">
      <x:alignment wrapText="1"/>
    </x:xf>
    <x:xf numFmtId="0" fontId="2" fillId="5" borderId="157" xfId="0" applyNumberFormat="1" applyFont="1" applyFill="1" applyBorder="1" applyAlignment="1">
      <x:alignment wrapText="1"/>
    </x:xf>
    <x:xf numFmtId="0" fontId="4" fillId="3" borderId="158" xfId="0" applyNumberFormat="1" applyFont="1" applyFill="1" applyBorder="1" applyAlignment="1">
      <x:alignment wrapText="1"/>
    </x:xf>
    <x:xf numFmtId="0" fontId="4" fillId="3" borderId="159" xfId="0" applyNumberFormat="1" applyFont="1" applyFill="1" applyBorder="1" applyAlignment="1">
      <x:alignment wrapText="1"/>
    </x:xf>
    <x:xf numFmtId="0" fontId="2" fillId="5" borderId="160" xfId="0" applyNumberFormat="1" applyFont="1" applyFill="1" applyBorder="1" applyAlignment="1">
      <x:alignment wrapText="1"/>
    </x:xf>
    <x:xf numFmtId="0" fontId="2" fillId="5" borderId="161" xfId="0" applyNumberFormat="1" applyFont="1" applyFill="1" applyBorder="1" applyAlignment="1">
      <x:alignment wrapText="1"/>
    </x:xf>
    <x:xf numFmtId="0" fontId="2" fillId="5" borderId="162" xfId="0" applyNumberFormat="1" applyFont="1" applyFill="1" applyBorder="1" applyAlignment="1">
      <x:alignment wrapText="1"/>
    </x:xf>
    <x:xf numFmtId="0" fontId="2" fillId="5" borderId="163" xfId="0" applyNumberFormat="1" applyFont="1" applyFill="1" applyBorder="1" applyAlignment="1">
      <x:alignment wrapText="1"/>
    </x:xf>
    <x:xf numFmtId="0" fontId="4" fillId="3" borderId="164" xfId="0" applyNumberFormat="1" applyFont="1" applyFill="1" applyBorder="1" applyAlignment="1">
      <x:alignment wrapText="1"/>
    </x:xf>
    <x:xf numFmtId="0" fontId="4" fillId="3" borderId="165" xfId="0" applyNumberFormat="1" applyFont="1" applyFill="1" applyBorder="1" applyAlignment="1">
      <x:alignment wrapText="1"/>
    </x:xf>
    <x:xf numFmtId="0" fontId="2" fillId="5" borderId="166" xfId="0" applyNumberFormat="1" applyFont="1" applyFill="1" applyBorder="1" applyAlignment="1">
      <x:alignment wrapText="1"/>
    </x:xf>
    <x:xf numFmtId="0" fontId="2" fillId="5" borderId="167" xfId="0" applyNumberFormat="1" applyFont="1" applyFill="1" applyBorder="1" applyAlignment="1">
      <x:alignment wrapText="1"/>
    </x:xf>
    <x:xf numFmtId="0" fontId="2" fillId="5" borderId="168" xfId="0" applyNumberFormat="1" applyFont="1" applyFill="1" applyBorder="1" applyAlignment="1">
      <x:alignment wrapText="1"/>
    </x:xf>
    <x:xf numFmtId="0" fontId="2" fillId="5" borderId="169" xfId="0" applyNumberFormat="1" applyFont="1" applyFill="1" applyBorder="1" applyAlignment="1">
      <x:alignment wrapText="1"/>
    </x:xf>
    <x:xf numFmtId="0" fontId="4" fillId="3" borderId="170" xfId="0" applyNumberFormat="1" applyFont="1" applyFill="1" applyBorder="1" applyAlignment="1">
      <x:alignment wrapText="1"/>
    </x:xf>
    <x:xf numFmtId="0" fontId="4" fillId="3" borderId="171" xfId="0" applyNumberFormat="1" applyFont="1" applyFill="1" applyBorder="1" applyAlignment="1">
      <x:alignment wrapText="1"/>
    </x:xf>
    <x:xf numFmtId="0" fontId="2" fillId="5" borderId="172" xfId="0" applyNumberFormat="1" applyFont="1" applyFill="1" applyBorder="1" applyAlignment="1">
      <x:alignment wrapText="1"/>
    </x:xf>
    <x:xf numFmtId="0" fontId="2" fillId="5" borderId="173" xfId="0" applyNumberFormat="1" applyFont="1" applyFill="1" applyBorder="1" applyAlignment="1">
      <x:alignment wrapText="1"/>
    </x:xf>
    <x:xf numFmtId="0" fontId="2" fillId="5" borderId="174" xfId="0" applyNumberFormat="1" applyFont="1" applyFill="1" applyBorder="1" applyAlignment="1">
      <x:alignment wrapText="1"/>
    </x:xf>
    <x:xf numFmtId="0" fontId="2" fillId="5" borderId="175" xfId="0" applyNumberFormat="1" applyFont="1" applyFill="1" applyBorder="1" applyAlignment="1">
      <x:alignment wrapText="1"/>
    </x:xf>
    <x:xf numFmtId="0" fontId="4" fillId="3" borderId="60" xfId="0" applyNumberFormat="1" applyFont="1" applyFill="1" applyBorder="1" applyAlignment="1">
      <x:alignment wrapText="1"/>
    </x:xf>
    <x:xf numFmtId="0" fontId="4" fillId="3" borderId="66" xfId="0" applyNumberFormat="1" applyFont="1" applyFill="1" applyBorder="1" applyAlignment="1">
      <x:alignment wrapText="1"/>
    </x:xf>
    <x:xf numFmtId="0" fontId="2" fillId="5" borderId="60" xfId="0" applyNumberFormat="1" applyFont="1" applyFill="1" applyBorder="1" applyAlignment="1">
      <x:alignment wrapText="1"/>
    </x:xf>
    <x:xf numFmtId="0" fontId="2" fillId="5" borderId="66" xfId="0" applyNumberFormat="1" applyFont="1" applyFill="1" applyBorder="1" applyAlignment="1">
      <x:alignment wrapText="1"/>
    </x:xf>
    <x:xf numFmtId="0" fontId="4" fillId="3" borderId="61" xfId="0" applyNumberFormat="1" applyFont="1" applyFill="1" applyBorder="1" applyAlignment="1">
      <x:alignment wrapText="1"/>
    </x:xf>
    <x:xf numFmtId="0" fontId="4" fillId="3" borderId="67" xfId="0" applyNumberFormat="1" applyFont="1" applyFill="1" applyBorder="1" applyAlignment="1">
      <x:alignment wrapText="1"/>
    </x:xf>
    <x:xf numFmtId="0" fontId="2" fillId="5" borderId="61" xfId="0" applyNumberFormat="1" applyFont="1" applyFill="1" applyBorder="1" applyAlignment="1">
      <x:alignment wrapText="1"/>
    </x:xf>
    <x:xf numFmtId="0" fontId="2" fillId="5" borderId="67" xfId="0" applyNumberFormat="1" applyFont="1" applyFill="1" applyBorder="1" applyAlignment="1">
      <x:alignment wrapText="1"/>
    </x:xf>
    <x:xf numFmtId="0" fontId="4" fillId="3" borderId="176" xfId="0" applyNumberFormat="1" applyFont="1" applyFill="1" applyBorder="1" applyAlignment="1">
      <x:alignment wrapText="1"/>
    </x:xf>
    <x:xf numFmtId="0" fontId="4" fillId="3" borderId="177" xfId="0" applyNumberFormat="1" applyFont="1" applyFill="1" applyBorder="1" applyAlignment="1">
      <x:alignment wrapText="1"/>
    </x:xf>
    <x:xf numFmtId="0" fontId="2" fillId="5" borderId="176" xfId="0" applyNumberFormat="1" applyFont="1" applyFill="1" applyBorder="1" applyAlignment="1">
      <x:alignment wrapText="1"/>
    </x:xf>
    <x:xf numFmtId="0" fontId="2" fillId="5" borderId="177" xfId="0" applyNumberFormat="1" applyFont="1" applyFill="1" applyBorder="1" applyAlignment="1">
      <x:alignment wrapText="1"/>
    </x:xf>
    <x:xf numFmtId="0" fontId="4" fillId="3" borderId="178" xfId="0" applyNumberFormat="1" applyFont="1" applyFill="1" applyBorder="1" applyAlignment="1">
      <x:alignment wrapText="1"/>
    </x:xf>
    <x:xf numFmtId="0" fontId="4" fillId="3" borderId="179" xfId="0" applyNumberFormat="1" applyFont="1" applyFill="1" applyBorder="1" applyAlignment="1">
      <x:alignment wrapText="1"/>
    </x:xf>
    <x:xf numFmtId="0" fontId="2" fillId="5" borderId="178" xfId="0" applyNumberFormat="1" applyFont="1" applyFill="1" applyBorder="1" applyAlignment="1">
      <x:alignment wrapText="1"/>
    </x:xf>
    <x:xf numFmtId="0" fontId="2" fillId="5" borderId="179" xfId="0" applyNumberFormat="1" applyFont="1" applyFill="1" applyBorder="1" applyAlignment="1">
      <x:alignment wrapText="1"/>
    </x:xf>
    <x:xf numFmtId="0" fontId="4" fillId="3" borderId="180" xfId="0" applyNumberFormat="1" applyFont="1" applyFill="1" applyBorder="1" applyAlignment="1">
      <x:alignment wrapText="1"/>
    </x:xf>
    <x:xf numFmtId="0" fontId="4" fillId="3" borderId="181" xfId="0" applyNumberFormat="1" applyFont="1" applyFill="1" applyBorder="1" applyAlignment="1">
      <x:alignment wrapText="1"/>
    </x:xf>
    <x:xf numFmtId="0" fontId="2" fillId="5" borderId="180" xfId="0" applyNumberFormat="1" applyFont="1" applyFill="1" applyBorder="1" applyAlignment="1">
      <x:alignment wrapText="1"/>
    </x:xf>
    <x:xf numFmtId="0" fontId="2" fillId="5" borderId="181" xfId="0" applyNumberFormat="1" applyFont="1" applyFill="1" applyBorder="1" applyAlignment="1">
      <x:alignment wrapText="1"/>
    </x:xf>
    <x:xf numFmtId="0" fontId="4" fillId="3" borderId="182" xfId="0" applyNumberFormat="1" applyFont="1" applyFill="1" applyBorder="1" applyAlignment="1">
      <x:alignment wrapText="1"/>
    </x:xf>
    <x:xf numFmtId="0" fontId="4" fillId="3" borderId="183" xfId="0" applyNumberFormat="1" applyFont="1" applyFill="1" applyBorder="1" applyAlignment="1">
      <x:alignment wrapText="1"/>
    </x:xf>
    <x:xf numFmtId="0" fontId="2" fillId="5" borderId="182" xfId="0" applyNumberFormat="1" applyFont="1" applyFill="1" applyBorder="1" applyAlignment="1">
      <x:alignment wrapText="1"/>
    </x:xf>
    <x:xf numFmtId="0" fontId="2" fillId="5" borderId="183" xfId="0" applyNumberFormat="1" applyFont="1" applyFill="1" applyBorder="1" applyAlignment="1">
      <x:alignment wrapText="1"/>
    </x:xf>
    <x:xf numFmtId="0" fontId="4" fillId="3" borderId="184" xfId="0" applyNumberFormat="1" applyFont="1" applyFill="1" applyBorder="1" applyAlignment="1">
      <x:alignment wrapText="1"/>
    </x:xf>
    <x:xf numFmtId="0" fontId="2" fillId="5" borderId="184" xfId="0" applyNumberFormat="1" applyFont="1" applyFill="1" applyBorder="1" applyAlignment="1">
      <x:alignment wrapText="1"/>
    </x:xf>
    <x:xf numFmtId="0" fontId="4" fillId="3" borderId="185" xfId="0" applyNumberFormat="1" applyFont="1" applyFill="1" applyBorder="1" applyAlignment="1">
      <x:alignment wrapText="1"/>
    </x:xf>
    <x:xf numFmtId="0" fontId="2" fillId="5" borderId="185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right" wrapText="1"/>
    </x:xf>
    <x:xf numFmtId="0" fontId="2" fillId="5" borderId="1" xfId="0" applyNumberFormat="1" applyFont="1" applyFill="1" applyBorder="1" applyAlignment="1">
      <x:alignment horizontal="right" wrapText="1"/>
    </x:xf>
    <x:xf numFmtId="0" fontId="2" fillId="5" borderId="8" xfId="0" applyNumberFormat="1" applyFont="1" applyFill="1" applyBorder="1" applyAlignment="1">
      <x:alignment horizontal="right" wrapText="1"/>
    </x:xf>
    <x:xf numFmtId="0" fontId="2" fillId="5" borderId="9" xfId="0" applyNumberFormat="1" applyFont="1" applyFill="1" applyBorder="1" applyAlignment="1">
      <x:alignment horizontal="right" wrapText="1"/>
    </x:xf>
    <x:xf numFmtId="0" fontId="2" fillId="5" borderId="10" xfId="0" applyNumberFormat="1" applyFont="1" applyFill="1" applyBorder="1" applyAlignment="1">
      <x:alignment horizontal="right" wrapText="1"/>
    </x:xf>
    <x:xf numFmtId="0" fontId="2" fillId="5" borderId="11" xfId="0" applyNumberFormat="1" applyFont="1" applyFill="1" applyBorder="1" applyAlignment="1">
      <x:alignment horizontal="right" wrapText="1"/>
    </x:xf>
    <x:xf numFmtId="0" fontId="2" fillId="5" borderId="12" xfId="0" applyNumberFormat="1" applyFont="1" applyFill="1" applyBorder="1" applyAlignment="1">
      <x:alignment horizontal="right" wrapText="1"/>
    </x:xf>
    <x:xf numFmtId="0" fontId="2" fillId="5" borderId="13" xfId="0" applyNumberFormat="1" applyFont="1" applyFill="1" applyBorder="1" applyAlignment="1">
      <x:alignment horizontal="right" wrapText="1"/>
    </x:xf>
    <x:xf numFmtId="0" fontId="2" fillId="5" borderId="33" xfId="0" applyNumberFormat="1" applyFont="1" applyFill="1" applyBorder="1" applyAlignment="1">
      <x:alignment horizontal="right" wrapText="1"/>
    </x:xf>
    <x:xf numFmtId="0" fontId="2" fillId="5" borderId="34" xfId="0" applyNumberFormat="1" applyFont="1" applyFill="1" applyBorder="1" applyAlignment="1">
      <x:alignment horizontal="right" wrapText="1"/>
    </x:xf>
    <x:xf numFmtId="0" fontId="2" fillId="5" borderId="36" xfId="0" applyNumberFormat="1" applyFont="1" applyFill="1" applyBorder="1" applyAlignment="1">
      <x:alignment horizontal="right" wrapText="1"/>
    </x:xf>
    <x:xf numFmtId="0" fontId="2" fillId="5" borderId="37" xfId="0" applyNumberFormat="1" applyFont="1" applyFill="1" applyBorder="1" applyAlignment="1">
      <x:alignment horizontal="right" wrapText="1"/>
    </x:xf>
    <x:xf numFmtId="0" fontId="2" fillId="5" borderId="39" xfId="0" applyNumberFormat="1" applyFont="1" applyFill="1" applyBorder="1" applyAlignment="1">
      <x:alignment horizontal="right" wrapText="1"/>
    </x:xf>
    <x:xf numFmtId="0" fontId="2" fillId="5" borderId="40" xfId="0" applyNumberFormat="1" applyFont="1" applyFill="1" applyBorder="1" applyAlignment="1">
      <x:alignment horizontal="right" wrapText="1"/>
    </x:xf>
    <x:xf numFmtId="0" fontId="2" fillId="5" borderId="42" xfId="0" applyNumberFormat="1" applyFont="1" applyFill="1" applyBorder="1" applyAlignment="1">
      <x:alignment horizontal="right" wrapText="1"/>
    </x:xf>
    <x:xf numFmtId="0" fontId="2" fillId="5" borderId="43" xfId="0" applyNumberFormat="1" applyFont="1" applyFill="1" applyBorder="1" applyAlignment="1">
      <x:alignment horizontal="right" wrapText="1"/>
    </x:xf>
    <x:xf numFmtId="0" fontId="2" fillId="5" borderId="45" xfId="0" applyNumberFormat="1" applyFont="1" applyFill="1" applyBorder="1" applyAlignment="1">
      <x:alignment horizontal="right" wrapText="1"/>
    </x:xf>
    <x:xf numFmtId="0" fontId="2" fillId="5" borderId="46" xfId="0" applyNumberFormat="1" applyFont="1" applyFill="1" applyBorder="1" applyAlignment="1">
      <x:alignment horizontal="right" wrapText="1"/>
    </x:xf>
    <x:xf numFmtId="0" fontId="2" fillId="5" borderId="48" xfId="0" applyNumberFormat="1" applyFont="1" applyFill="1" applyBorder="1" applyAlignment="1">
      <x:alignment horizontal="right" wrapText="1"/>
    </x:xf>
    <x:xf numFmtId="0" fontId="2" fillId="5" borderId="49" xfId="0" applyNumberFormat="1" applyFont="1" applyFill="1" applyBorder="1" applyAlignment="1">
      <x:alignment horizontal="right" wrapText="1"/>
    </x:xf>
    <x:xf numFmtId="0" fontId="4" fillId="3" borderId="50" xfId="0" applyNumberFormat="1" applyFont="1" applyFill="1" applyBorder="1" applyAlignment="1">
      <x:alignment wrapText="1"/>
    </x:xf>
    <x:xf numFmtId="0" fontId="2" fillId="5" borderId="186" xfId="0" applyNumberFormat="1" applyFont="1" applyFill="1" applyBorder="1" applyAlignment="1">
      <x:alignment horizontal="right" wrapText="1"/>
    </x:xf>
    <x:xf numFmtId="0" fontId="2" fillId="5" borderId="155" xfId="0" applyNumberFormat="1" applyFont="1" applyFill="1" applyBorder="1" applyAlignment="1">
      <x:alignment horizontal="right" wrapText="1"/>
    </x:xf>
    <x:xf numFmtId="0" fontId="2" fillId="5" borderId="187" xfId="0" applyNumberFormat="1" applyFont="1" applyFill="1" applyBorder="1" applyAlignment="1">
      <x:alignment horizontal="right" wrapText="1"/>
    </x:xf>
    <x:xf numFmtId="0" fontId="2" fillId="5" borderId="157" xfId="0" applyNumberFormat="1" applyFont="1" applyFill="1" applyBorder="1" applyAlignment="1">
      <x:alignment horizontal="right" wrapText="1"/>
    </x:xf>
    <x:xf numFmtId="0" fontId="4" fillId="3" borderId="51" xfId="0" applyNumberFormat="1" applyFont="1" applyFill="1" applyBorder="1" applyAlignment="1">
      <x:alignment wrapText="1"/>
    </x:xf>
    <x:xf numFmtId="0" fontId="2" fillId="5" borderId="188" xfId="0" applyNumberFormat="1" applyFont="1" applyFill="1" applyBorder="1" applyAlignment="1">
      <x:alignment horizontal="right" wrapText="1"/>
    </x:xf>
    <x:xf numFmtId="0" fontId="2" fillId="5" borderId="161" xfId="0" applyNumberFormat="1" applyFont="1" applyFill="1" applyBorder="1" applyAlignment="1">
      <x:alignment horizontal="right" wrapText="1"/>
    </x:xf>
    <x:xf numFmtId="0" fontId="2" fillId="5" borderId="189" xfId="0" applyNumberFormat="1" applyFont="1" applyFill="1" applyBorder="1" applyAlignment="1">
      <x:alignment horizontal="right" wrapText="1"/>
    </x:xf>
    <x:xf numFmtId="0" fontId="2" fillId="5" borderId="163" xfId="0" applyNumberFormat="1" applyFont="1" applyFill="1" applyBorder="1" applyAlignment="1">
      <x:alignment horizontal="right" wrapText="1"/>
    </x:xf>
    <x:xf numFmtId="0" fontId="4" fillId="3" borderId="52" xfId="0" applyNumberFormat="1" applyFont="1" applyFill="1" applyBorder="1" applyAlignment="1">
      <x:alignment wrapText="1"/>
    </x:xf>
    <x:xf numFmtId="0" fontId="2" fillId="5" borderId="190" xfId="0" applyNumberFormat="1" applyFont="1" applyFill="1" applyBorder="1" applyAlignment="1">
      <x:alignment horizontal="right" wrapText="1"/>
    </x:xf>
    <x:xf numFmtId="0" fontId="2" fillId="5" borderId="167" xfId="0" applyNumberFormat="1" applyFont="1" applyFill="1" applyBorder="1" applyAlignment="1">
      <x:alignment horizontal="right" wrapText="1"/>
    </x:xf>
    <x:xf numFmtId="0" fontId="2" fillId="5" borderId="191" xfId="0" applyNumberFormat="1" applyFont="1" applyFill="1" applyBorder="1" applyAlignment="1">
      <x:alignment horizontal="right" wrapText="1"/>
    </x:xf>
    <x:xf numFmtId="0" fontId="2" fillId="5" borderId="169" xfId="0" applyNumberFormat="1" applyFont="1" applyFill="1" applyBorder="1" applyAlignment="1">
      <x:alignment horizontal="right" wrapText="1"/>
    </x:xf>
    <x:xf numFmtId="0" fontId="4" fillId="3" borderId="53" xfId="0" applyNumberFormat="1" applyFont="1" applyFill="1" applyBorder="1" applyAlignment="1">
      <x:alignment wrapText="1"/>
    </x:xf>
    <x:xf numFmtId="0" fontId="2" fillId="5" borderId="192" xfId="0" applyNumberFormat="1" applyFont="1" applyFill="1" applyBorder="1" applyAlignment="1">
      <x:alignment horizontal="right" wrapText="1"/>
    </x:xf>
    <x:xf numFmtId="0" fontId="2" fillId="5" borderId="173" xfId="0" applyNumberFormat="1" applyFont="1" applyFill="1" applyBorder="1" applyAlignment="1">
      <x:alignment horizontal="right" wrapText="1"/>
    </x:xf>
    <x:xf numFmtId="0" fontId="2" fillId="5" borderId="193" xfId="0" applyNumberFormat="1" applyFont="1" applyFill="1" applyBorder="1" applyAlignment="1">
      <x:alignment horizontal="right" wrapText="1"/>
    </x:xf>
    <x:xf numFmtId="0" fontId="2" fillId="5" borderId="175" xfId="0" applyNumberFormat="1" applyFont="1" applyFill="1" applyBorder="1" applyAlignment="1">
      <x:alignment horizontal="right" wrapText="1"/>
    </x:xf>
    <x:xf numFmtId="0" fontId="4" fillId="3" borderId="54" xfId="0" applyNumberFormat="1" applyFont="1" applyFill="1" applyBorder="1" applyAlignment="1">
      <x:alignment wrapText="1"/>
    </x:xf>
    <x:xf numFmtId="0" fontId="2" fillId="5" borderId="54" xfId="0" applyNumberFormat="1" applyFont="1" applyFill="1" applyBorder="1" applyAlignment="1">
      <x:alignment horizontal="right" wrapText="1"/>
    </x:xf>
    <x:xf numFmtId="0" fontId="2" fillId="5" borderId="66" xfId="0" applyNumberFormat="1" applyFont="1" applyFill="1" applyBorder="1" applyAlignment="1">
      <x:alignment horizontal="right" wrapText="1"/>
    </x:xf>
    <x:xf numFmtId="0" fontId="4" fillId="3" borderId="55" xfId="0" applyNumberFormat="1" applyFont="1" applyFill="1" applyBorder="1" applyAlignment="1">
      <x:alignment wrapText="1"/>
    </x:xf>
    <x:xf numFmtId="0" fontId="2" fillId="5" borderId="55" xfId="0" applyNumberFormat="1" applyFont="1" applyFill="1" applyBorder="1" applyAlignment="1">
      <x:alignment horizontal="right" wrapText="1"/>
    </x:xf>
    <x:xf numFmtId="0" fontId="2" fillId="5" borderId="67" xfId="0" applyNumberFormat="1" applyFont="1" applyFill="1" applyBorder="1" applyAlignment="1">
      <x:alignment horizontal="right" wrapText="1"/>
    </x:xf>
    <x:xf numFmtId="0" fontId="4" fillId="3" borderId="194" xfId="0" applyNumberFormat="1" applyFont="1" applyFill="1" applyBorder="1" applyAlignment="1">
      <x:alignment wrapText="1"/>
    </x:xf>
    <x:xf numFmtId="0" fontId="2" fillId="5" borderId="194" xfId="0" applyNumberFormat="1" applyFont="1" applyFill="1" applyBorder="1" applyAlignment="1">
      <x:alignment horizontal="right" wrapText="1"/>
    </x:xf>
    <x:xf numFmtId="0" fontId="2" fillId="5" borderId="177" xfId="0" applyNumberFormat="1" applyFont="1" applyFill="1" applyBorder="1" applyAlignment="1">
      <x:alignment horizontal="right" wrapText="1"/>
    </x:xf>
    <x:xf numFmtId="0" fontId="4" fillId="3" borderId="195" xfId="0" applyNumberFormat="1" applyFont="1" applyFill="1" applyBorder="1" applyAlignment="1">
      <x:alignment wrapText="1"/>
    </x:xf>
    <x:xf numFmtId="0" fontId="2" fillId="5" borderId="195" xfId="0" applyNumberFormat="1" applyFont="1" applyFill="1" applyBorder="1" applyAlignment="1">
      <x:alignment horizontal="right" wrapText="1"/>
    </x:xf>
    <x:xf numFmtId="0" fontId="2" fillId="5" borderId="179" xfId="0" applyNumberFormat="1" applyFont="1" applyFill="1" applyBorder="1" applyAlignment="1">
      <x:alignment horizontal="right" wrapText="1"/>
    </x:xf>
    <x:xf numFmtId="0" fontId="4" fillId="3" borderId="196" xfId="0" applyNumberFormat="1" applyFont="1" applyFill="1" applyBorder="1" applyAlignment="1">
      <x:alignment wrapText="1"/>
    </x:xf>
    <x:xf numFmtId="0" fontId="2" fillId="5" borderId="196" xfId="0" applyNumberFormat="1" applyFont="1" applyFill="1" applyBorder="1" applyAlignment="1">
      <x:alignment horizontal="right" wrapText="1"/>
    </x:xf>
    <x:xf numFmtId="0" fontId="2" fillId="5" borderId="181" xfId="0" applyNumberFormat="1" applyFont="1" applyFill="1" applyBorder="1" applyAlignment="1">
      <x:alignment horizontal="right" wrapText="1"/>
    </x:xf>
    <x:xf numFmtId="0" fontId="4" fillId="3" borderId="197" xfId="0" applyNumberFormat="1" applyFont="1" applyFill="1" applyBorder="1" applyAlignment="1">
      <x:alignment wrapText="1"/>
    </x:xf>
    <x:xf numFmtId="0" fontId="2" fillId="5" borderId="197" xfId="0" applyNumberFormat="1" applyFont="1" applyFill="1" applyBorder="1" applyAlignment="1">
      <x:alignment horizontal="right" wrapText="1"/>
    </x:xf>
    <x:xf numFmtId="0" fontId="2" fillId="5" borderId="183" xfId="0" applyNumberFormat="1" applyFont="1" applyFill="1" applyBorder="1" applyAlignment="1">
      <x:alignment horizontal="right" wrapText="1"/>
    </x:xf>
    <x:xf numFmtId="0" fontId="2" fillId="5" borderId="184" xfId="0" applyNumberFormat="1" applyFont="1" applyFill="1" applyBorder="1" applyAlignment="1">
      <x:alignment horizontal="right" wrapText="1"/>
    </x:xf>
    <x:xf numFmtId="0" fontId="2" fillId="5" borderId="185" xfId="0" applyNumberFormat="1" applyFont="1" applyFill="1" applyBorder="1" applyAlignment="1">
      <x:alignment horizontal="right" wrapText="1"/>
    </x:xf>
    <x:xf numFmtId="0" fontId="2" fillId="6" borderId="184" xfId="0" applyNumberFormat="1" applyFont="1" applyFill="1" applyBorder="1" applyAlignment="1">
      <x:alignment horizontal="right" wrapText="1"/>
    </x:xf>
    <x:xf numFmtId="0" fontId="2" fillId="6" borderId="185" xfId="0" applyNumberFormat="1" applyFont="1" applyFill="1" applyBorder="1" applyAlignment="1">
      <x:alignment horizontal="right" wrapText="1"/>
    </x:xf>
    <x:xf numFmtId="200" fontId="2" fillId="6" borderId="184" xfId="0" applyNumberFormat="1" applyFont="1" applyFill="1" applyBorder="1" applyAlignment="1">
      <x:alignment horizontal="right" wrapText="1"/>
    </x:xf>
    <x:xf numFmtId="200" fontId="2" fillId="6" borderId="185" xfId="0" applyNumberFormat="1" applyFont="1" applyFill="1" applyBorder="1" applyAlignment="1">
      <x:alignment horizontal="right" wrapText="1"/>
    </x:xf>
    <x:xf numFmtId="0" fontId="2" fillId="7" borderId="184" xfId="0" applyNumberFormat="1" applyFont="1" applyFill="1" applyBorder="1" applyAlignment="1">
      <x:alignment horizontal="right" wrapText="1"/>
    </x:xf>
    <x:xf numFmtId="0" fontId="2" fillId="7" borderId="185" xfId="0" applyNumberFormat="1" applyFont="1" applyFill="1" applyBorder="1" applyAlignment="1">
      <x:alignment horizontal="right" wrapText="1"/>
    </x:xf>
    <x:xf numFmtId="200" fontId="2" fillId="7" borderId="184" xfId="0" applyNumberFormat="1" applyFont="1" applyFill="1" applyBorder="1" applyAlignment="1">
      <x:alignment horizontal="right" wrapText="1"/>
    </x:xf>
    <x:xf numFmtId="200" fontId="2" fillId="7" borderId="185" xfId="0" applyNumberFormat="1" applyFont="1" applyFill="1" applyBorder="1" applyAlignment="1">
      <x:alignment horizontal="right" wrapText="1"/>
    </x:xf>
    <x:xf numFmtId="200" fontId="2" fillId="2" borderId="0" xfId="0" applyNumberFormat="1" applyFont="1" applyFill="1" applyBorder="1"/>
    <x:xf numFmtId="200" fontId="2" fillId="2" borderId="1" xfId="0" applyNumberFormat="1" applyFont="1" applyFill="1" applyBorder="1"/>
    <x:xf numFmtId="201" fontId="2" fillId="2" borderId="0" xfId="0" applyNumberFormat="1" applyFont="1" applyFill="1" applyBorder="1"/>
    <x:xf numFmtId="201" fontId="2" fillId="2" borderId="1" xfId="0" applyNumberFormat="1" applyFont="1" applyFill="1" applyBorder="1"/>
    <x:xf numFmtId="200" fontId="2" fillId="5" borderId="0" xfId="0" applyNumberFormat="1" applyFont="1" applyFill="1" applyBorder="1"/>
    <x:xf numFmtId="201" fontId="2" fillId="5" borderId="0" xfId="0" applyNumberFormat="1" applyFont="1" applyFill="1" applyBorder="1"/>
    <x:xf numFmtId="200" fontId="2" fillId="5" borderId="1" xfId="0" applyNumberFormat="1" applyFont="1" applyFill="1" applyBorder="1"/>
    <x:xf numFmtId="201" fontId="2" fillId="5" borderId="1" xfId="0" applyNumberFormat="1" applyFont="1" applyFill="1" applyBorder="1"/>
    <x:xf numFmtId="200" fontId="2" fillId="7" borderId="0" xfId="0" applyNumberFormat="1" applyFont="1" applyFill="1" applyBorder="1"/>
    <x:xf numFmtId="201" fontId="2" fillId="7" borderId="0" xfId="0" applyNumberFormat="1" applyFont="1" applyFill="1" applyBorder="1"/>
    <x:xf numFmtId="200" fontId="2" fillId="7" borderId="1" xfId="0" applyNumberFormat="1" applyFont="1" applyFill="1" applyBorder="1"/>
    <x:xf numFmtId="201" fontId="2" fillId="7" borderId="1" xfId="0" applyNumberFormat="1" applyFont="1" applyFill="1" applyBorder="1"/>
    <x:xf numFmtId="200" fontId="7" fillId="7" borderId="0" xfId="0" applyNumberFormat="1" applyFont="1" applyFill="1" applyBorder="1"/>
    <x:xf numFmtId="201" fontId="7" fillId="7" borderId="0" xfId="0" applyNumberFormat="1" applyFont="1" applyFill="1" applyBorder="1"/>
    <x:xf numFmtId="200" fontId="7" fillId="7" borderId="1" xfId="0" applyNumberFormat="1" applyFont="1" applyFill="1" applyBorder="1"/>
    <x:xf numFmtId="201" fontId="7" fillId="7" borderId="1" xfId="0" applyNumberFormat="1" applyFont="1" applyFill="1" applyBorder="1"/>
    <x:xf numFmtId="200" fontId="10" fillId="7" borderId="0" xfId="0" applyNumberFormat="1" applyFont="1" applyFill="1" applyBorder="1"/>
    <x:xf numFmtId="201" fontId="10" fillId="7" borderId="0" xfId="0" applyNumberFormat="1" applyFont="1" applyFill="1" applyBorder="1"/>
    <x:xf numFmtId="200" fontId="10" fillId="7" borderId="1" xfId="0" applyNumberFormat="1" applyFont="1" applyFill="1" applyBorder="1"/>
    <x:xf numFmtId="201" fontId="10" fillId="7" borderId="1" xfId="0" applyNumberFormat="1" applyFont="1" applyFill="1" applyBorder="1"/>
    <x:xf numFmtId="200" fontId="10" fillId="7" borderId="0" xfId="0" applyNumberFormat="1" applyFont="1" applyFill="1" applyBorder="1" applyAlignment="1">
      <x:alignment horizontal="right"/>
    </x:xf>
    <x:xf numFmtId="201" fontId="10" fillId="7" borderId="0" xfId="0" applyNumberFormat="1" applyFont="1" applyFill="1" applyBorder="1" applyAlignment="1">
      <x:alignment horizontal="right"/>
    </x:xf>
    <x:xf numFmtId="200" fontId="10" fillId="7" borderId="1" xfId="0" applyNumberFormat="1" applyFont="1" applyFill="1" applyBorder="1" applyAlignment="1">
      <x:alignment horizontal="right"/>
    </x:xf>
    <x:xf numFmtId="201" fontId="10" fillId="7" borderId="1" xfId="0" applyNumberFormat="1" applyFont="1" applyFill="1" applyBorder="1" applyAlignment="1">
      <x:alignment horizontal="right"/>
    </x:xf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6" fillId="5" borderId="8" xfId="0" applyNumberFormat="1" applyFont="1" applyFill="1" applyBorder="1"/>
    <x:xf numFmtId="201" fontId="10" fillId="7" borderId="8" xfId="0" applyNumberFormat="1" applyFont="1" applyFill="1" applyBorder="1" applyAlignment="1">
      <x:alignment horizontal="right"/>
    </x:xf>
    <x:xf numFmtId="0" fontId="6" fillId="5" borderId="9" xfId="0" applyNumberFormat="1" applyFont="1" applyFill="1" applyBorder="1"/>
    <x:xf numFmtId="201" fontId="10" fillId="7" borderId="9" xfId="0" applyNumberFormat="1" applyFont="1" applyFill="1" applyBorder="1" applyAlignment="1">
      <x:alignment horizontal="right"/>
    </x:xf>
    <x:xf numFmtId="0" fontId="6" fillId="5" borderId="10" xfId="0" applyNumberFormat="1" applyFont="1" applyFill="1" applyBorder="1"/>
    <x:xf numFmtId="201" fontId="10" fillId="7" borderId="10" xfId="0" applyNumberFormat="1" applyFont="1" applyFill="1" applyBorder="1" applyAlignment="1">
      <x:alignment horizontal="right"/>
    </x:xf>
    <x:xf numFmtId="0" fontId="6" fillId="5" borderId="11" xfId="0" applyNumberFormat="1" applyFont="1" applyFill="1" applyBorder="1"/>
    <x:xf numFmtId="201" fontId="10" fillId="7" borderId="11" xfId="0" applyNumberFormat="1" applyFont="1" applyFill="1" applyBorder="1" applyAlignment="1">
      <x:alignment horizontal="right"/>
    </x:xf>
    <x:xf numFmtId="0" fontId="6" fillId="5" borderId="12" xfId="0" applyNumberFormat="1" applyFont="1" applyFill="1" applyBorder="1"/>
    <x:xf numFmtId="201" fontId="10" fillId="7" borderId="12" xfId="0" applyNumberFormat="1" applyFont="1" applyFill="1" applyBorder="1" applyAlignment="1">
      <x:alignment horizontal="right"/>
    </x:xf>
    <x:xf numFmtId="0" fontId="6" fillId="5" borderId="13" xfId="0" applyNumberFormat="1" applyFont="1" applyFill="1" applyBorder="1"/>
    <x:xf numFmtId="201" fontId="10" fillId="7" borderId="13" xfId="0" applyNumberFormat="1" applyFont="1" applyFill="1" applyBorder="1" applyAlignment="1">
      <x:alignment horizontal="right"/>
    </x:xf>
    <x:xf numFmtId="0" fontId="4" fillId="3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4" fillId="3" borderId="17" xfId="0" applyNumberFormat="1" applyFont="1" applyFill="1" applyBorder="1"/>
    <x:xf numFmtId="0" fontId="6" fillId="5" borderId="18" xfId="0" applyNumberFormat="1" applyFont="1" applyFill="1" applyBorder="1"/>
    <x:xf numFmtId="0" fontId="6" fillId="5" borderId="19" xfId="0" applyNumberFormat="1" applyFont="1" applyFill="1" applyBorder="1"/>
    <x:xf numFmtId="0" fontId="4" fillId="3" borderId="20" xfId="0" applyNumberFormat="1" applyFont="1" applyFill="1" applyBorder="1"/>
    <x:xf numFmtId="0" fontId="6" fillId="5" borderId="21" xfId="0" applyNumberFormat="1" applyFont="1" applyFill="1" applyBorder="1"/>
    <x:xf numFmtId="0" fontId="6" fillId="5" borderId="22" xfId="0" applyNumberFormat="1" applyFont="1" applyFill="1" applyBorder="1"/>
    <x:xf numFmtId="0" fontId="4" fillId="3" borderId="23" xfId="0" applyNumberFormat="1" applyFont="1" applyFill="1" applyBorder="1"/>
    <x:xf numFmtId="0" fontId="6" fillId="5" borderId="24" xfId="0" applyNumberFormat="1" applyFont="1" applyFill="1" applyBorder="1"/>
    <x:xf numFmtId="0" fontId="6" fillId="5" borderId="25" xfId="0" applyNumberFormat="1" applyFont="1" applyFill="1" applyBorder="1"/>
    <x:xf numFmtId="0" fontId="4" fillId="3" borderId="26" xfId="0" applyNumberFormat="1" applyFont="1" applyFill="1" applyBorder="1"/>
    <x:xf numFmtId="0" fontId="6" fillId="5" borderId="27" xfId="0" applyNumberFormat="1" applyFont="1" applyFill="1" applyBorder="1"/>
    <x:xf numFmtId="0" fontId="6" fillId="5" borderId="28" xfId="0" applyNumberFormat="1" applyFont="1" applyFill="1" applyBorder="1"/>
    <x:xf numFmtId="0" fontId="4" fillId="3" borderId="29" xfId="0" applyNumberFormat="1" applyFont="1" applyFill="1" applyBorder="1"/>
    <x:xf numFmtId="0" fontId="6" fillId="5" borderId="30" xfId="0" applyNumberFormat="1" applyFont="1" applyFill="1" applyBorder="1"/>
    <x:xf numFmtId="0" fontId="6" fillId="5" borderId="31" xfId="0" applyNumberFormat="1" applyFont="1" applyFill="1" applyBorder="1"/>
    <x:xf numFmtId="0" fontId="4" fillId="3" borderId="32" xfId="0" applyNumberFormat="1" applyFont="1" applyFill="1" applyBorder="1"/>
    <x:xf numFmtId="200" fontId="10" fillId="7" borderId="33" xfId="0" applyNumberFormat="1" applyFont="1" applyFill="1" applyBorder="1" applyAlignment="1">
      <x:alignment horizontal="right"/>
    </x:xf>
    <x:xf numFmtId="201" fontId="10" fillId="7" borderId="34" xfId="0" applyNumberFormat="1" applyFont="1" applyFill="1" applyBorder="1" applyAlignment="1">
      <x:alignment horizontal="right"/>
    </x:xf>
    <x:xf numFmtId="0" fontId="4" fillId="3" borderId="35" xfId="0" applyNumberFormat="1" applyFont="1" applyFill="1" applyBorder="1"/>
    <x:xf numFmtId="200" fontId="10" fillId="7" borderId="36" xfId="0" applyNumberFormat="1" applyFont="1" applyFill="1" applyBorder="1" applyAlignment="1">
      <x:alignment horizontal="right"/>
    </x:xf>
    <x:xf numFmtId="201" fontId="10" fillId="7" borderId="37" xfId="0" applyNumberFormat="1" applyFont="1" applyFill="1" applyBorder="1" applyAlignment="1">
      <x:alignment horizontal="right"/>
    </x:xf>
    <x:xf numFmtId="0" fontId="4" fillId="3" borderId="38" xfId="0" applyNumberFormat="1" applyFont="1" applyFill="1" applyBorder="1"/>
    <x:xf numFmtId="200" fontId="10" fillId="7" borderId="39" xfId="0" applyNumberFormat="1" applyFont="1" applyFill="1" applyBorder="1" applyAlignment="1">
      <x:alignment horizontal="right"/>
    </x:xf>
    <x:xf numFmtId="201" fontId="10" fillId="7" borderId="40" xfId="0" applyNumberFormat="1" applyFont="1" applyFill="1" applyBorder="1" applyAlignment="1">
      <x:alignment horizontal="right"/>
    </x:xf>
    <x:xf numFmtId="0" fontId="4" fillId="3" borderId="41" xfId="0" applyNumberFormat="1" applyFont="1" applyFill="1" applyBorder="1"/>
    <x:xf numFmtId="200" fontId="10" fillId="7" borderId="42" xfId="0" applyNumberFormat="1" applyFont="1" applyFill="1" applyBorder="1" applyAlignment="1">
      <x:alignment horizontal="right"/>
    </x:xf>
    <x:xf numFmtId="201" fontId="10" fillId="7" borderId="43" xfId="0" applyNumberFormat="1" applyFont="1" applyFill="1" applyBorder="1" applyAlignment="1">
      <x:alignment horizontal="right"/>
    </x:xf>
    <x:xf numFmtId="0" fontId="4" fillId="3" borderId="44" xfId="0" applyNumberFormat="1" applyFont="1" applyFill="1" applyBorder="1"/>
    <x:xf numFmtId="200" fontId="10" fillId="7" borderId="45" xfId="0" applyNumberFormat="1" applyFont="1" applyFill="1" applyBorder="1" applyAlignment="1">
      <x:alignment horizontal="right"/>
    </x:xf>
    <x:xf numFmtId="201" fontId="10" fillId="7" borderId="46" xfId="0" applyNumberFormat="1" applyFont="1" applyFill="1" applyBorder="1" applyAlignment="1">
      <x:alignment horizontal="right"/>
    </x:xf>
    <x:xf numFmtId="0" fontId="4" fillId="3" borderId="47" xfId="0" applyNumberFormat="1" applyFont="1" applyFill="1" applyBorder="1"/>
    <x:xf numFmtId="200" fontId="10" fillId="7" borderId="48" xfId="0" applyNumberFormat="1" applyFont="1" applyFill="1" applyBorder="1" applyAlignment="1">
      <x:alignment horizontal="right"/>
    </x:xf>
    <x:xf numFmtId="201" fontId="10" fillId="7" borderId="49" xfId="0" applyNumberFormat="1" applyFont="1" applyFill="1" applyBorder="1" applyAlignment="1">
      <x:alignment horizontal="right"/>
    </x:xf>
    <x:xf numFmtId="0" fontId="4" fillId="3" borderId="152" xfId="0" applyNumberFormat="1" applyFont="1" applyFill="1" applyBorder="1"/>
    <x:xf numFmtId="0" fontId="4" fillId="3" borderId="153" xfId="0" applyNumberFormat="1" applyFont="1" applyFill="1" applyBorder="1"/>
    <x:xf numFmtId="0" fontId="6" fillId="5" borderId="154" xfId="0" applyNumberFormat="1" applyFont="1" applyFill="1" applyBorder="1"/>
    <x:xf numFmtId="200" fontId="10" fillId="7" borderId="155" xfId="0" applyNumberFormat="1" applyFont="1" applyFill="1" applyBorder="1" applyAlignment="1">
      <x:alignment horizontal="right"/>
    </x:xf>
    <x:xf numFmtId="0" fontId="6" fillId="5" borderId="156" xfId="0" applyNumberFormat="1" applyFont="1" applyFill="1" applyBorder="1"/>
    <x:xf numFmtId="201" fontId="10" fillId="7" borderId="157" xfId="0" applyNumberFormat="1" applyFont="1" applyFill="1" applyBorder="1" applyAlignment="1">
      <x:alignment horizontal="right"/>
    </x:xf>
    <x:xf numFmtId="0" fontId="4" fillId="3" borderId="158" xfId="0" applyNumberFormat="1" applyFont="1" applyFill="1" applyBorder="1"/>
    <x:xf numFmtId="0" fontId="4" fillId="3" borderId="159" xfId="0" applyNumberFormat="1" applyFont="1" applyFill="1" applyBorder="1"/>
    <x:xf numFmtId="0" fontId="6" fillId="5" borderId="160" xfId="0" applyNumberFormat="1" applyFont="1" applyFill="1" applyBorder="1"/>
    <x:xf numFmtId="200" fontId="10" fillId="7" borderId="161" xfId="0" applyNumberFormat="1" applyFont="1" applyFill="1" applyBorder="1" applyAlignment="1">
      <x:alignment horizontal="right"/>
    </x:xf>
    <x:xf numFmtId="0" fontId="6" fillId="5" borderId="162" xfId="0" applyNumberFormat="1" applyFont="1" applyFill="1" applyBorder="1"/>
    <x:xf numFmtId="201" fontId="10" fillId="7" borderId="163" xfId="0" applyNumberFormat="1" applyFont="1" applyFill="1" applyBorder="1" applyAlignment="1">
      <x:alignment horizontal="right"/>
    </x:xf>
    <x:xf numFmtId="0" fontId="4" fillId="3" borderId="164" xfId="0" applyNumberFormat="1" applyFont="1" applyFill="1" applyBorder="1"/>
    <x:xf numFmtId="0" fontId="4" fillId="3" borderId="165" xfId="0" applyNumberFormat="1" applyFont="1" applyFill="1" applyBorder="1"/>
    <x:xf numFmtId="0" fontId="6" fillId="5" borderId="166" xfId="0" applyNumberFormat="1" applyFont="1" applyFill="1" applyBorder="1"/>
    <x:xf numFmtId="200" fontId="10" fillId="7" borderId="167" xfId="0" applyNumberFormat="1" applyFont="1" applyFill="1" applyBorder="1" applyAlignment="1">
      <x:alignment horizontal="right"/>
    </x:xf>
    <x:xf numFmtId="0" fontId="6" fillId="5" borderId="168" xfId="0" applyNumberFormat="1" applyFont="1" applyFill="1" applyBorder="1"/>
    <x:xf numFmtId="201" fontId="10" fillId="7" borderId="169" xfId="0" applyNumberFormat="1" applyFont="1" applyFill="1" applyBorder="1" applyAlignment="1">
      <x:alignment horizontal="right"/>
    </x:xf>
    <x:xf numFmtId="0" fontId="4" fillId="3" borderId="170" xfId="0" applyNumberFormat="1" applyFont="1" applyFill="1" applyBorder="1"/>
    <x:xf numFmtId="0" fontId="4" fillId="3" borderId="171" xfId="0" applyNumberFormat="1" applyFont="1" applyFill="1" applyBorder="1"/>
    <x:xf numFmtId="0" fontId="6" fillId="5" borderId="172" xfId="0" applyNumberFormat="1" applyFont="1" applyFill="1" applyBorder="1"/>
    <x:xf numFmtId="200" fontId="10" fillId="7" borderId="173" xfId="0" applyNumberFormat="1" applyFont="1" applyFill="1" applyBorder="1" applyAlignment="1">
      <x:alignment horizontal="right"/>
    </x:xf>
    <x:xf numFmtId="0" fontId="6" fillId="5" borderId="174" xfId="0" applyNumberFormat="1" applyFont="1" applyFill="1" applyBorder="1"/>
    <x:xf numFmtId="201" fontId="10" fillId="7" borderId="175" xfId="0" applyNumberFormat="1" applyFont="1" applyFill="1" applyBorder="1" applyAlignment="1">
      <x:alignment horizontal="right"/>
    </x:xf>
    <x:xf numFmtId="0" fontId="4" fillId="3" borderId="60" xfId="0" applyNumberFormat="1" applyFont="1" applyFill="1" applyBorder="1"/>
    <x:xf numFmtId="0" fontId="4" fillId="3" borderId="66" xfId="0" applyNumberFormat="1" applyFont="1" applyFill="1" applyBorder="1"/>
    <x:xf numFmtId="0" fontId="6" fillId="5" borderId="60" xfId="0" applyNumberFormat="1" applyFont="1" applyFill="1" applyBorder="1"/>
    <x:xf numFmtId="200" fontId="10" fillId="7" borderId="66" xfId="0" applyNumberFormat="1" applyFont="1" applyFill="1" applyBorder="1" applyAlignment="1">
      <x:alignment horizontal="right"/>
    </x:xf>
    <x:xf numFmtId="201" fontId="10" fillId="7" borderId="66" xfId="0" applyNumberFormat="1" applyFont="1" applyFill="1" applyBorder="1" applyAlignment="1">
      <x:alignment horizontal="right"/>
    </x:xf>
    <x:xf numFmtId="0" fontId="4" fillId="3" borderId="61" xfId="0" applyNumberFormat="1" applyFont="1" applyFill="1" applyBorder="1"/>
    <x:xf numFmtId="0" fontId="4" fillId="3" borderId="67" xfId="0" applyNumberFormat="1" applyFont="1" applyFill="1" applyBorder="1"/>
    <x:xf numFmtId="0" fontId="6" fillId="5" borderId="61" xfId="0" applyNumberFormat="1" applyFont="1" applyFill="1" applyBorder="1"/>
    <x:xf numFmtId="200" fontId="10" fillId="7" borderId="67" xfId="0" applyNumberFormat="1" applyFont="1" applyFill="1" applyBorder="1" applyAlignment="1">
      <x:alignment horizontal="right"/>
    </x:xf>
    <x:xf numFmtId="201" fontId="10" fillId="7" borderId="67" xfId="0" applyNumberFormat="1" applyFont="1" applyFill="1" applyBorder="1" applyAlignment="1">
      <x:alignment horizontal="right"/>
    </x:xf>
    <x:xf numFmtId="0" fontId="4" fillId="3" borderId="176" xfId="0" applyNumberFormat="1" applyFont="1" applyFill="1" applyBorder="1"/>
    <x:xf numFmtId="0" fontId="4" fillId="3" borderId="177" xfId="0" applyNumberFormat="1" applyFont="1" applyFill="1" applyBorder="1"/>
    <x:xf numFmtId="0" fontId="6" fillId="5" borderId="176" xfId="0" applyNumberFormat="1" applyFont="1" applyFill="1" applyBorder="1"/>
    <x:xf numFmtId="200" fontId="10" fillId="7" borderId="177" xfId="0" applyNumberFormat="1" applyFont="1" applyFill="1" applyBorder="1" applyAlignment="1">
      <x:alignment horizontal="right"/>
    </x:xf>
    <x:xf numFmtId="201" fontId="10" fillId="7" borderId="177" xfId="0" applyNumberFormat="1" applyFont="1" applyFill="1" applyBorder="1" applyAlignment="1">
      <x:alignment horizontal="right"/>
    </x:xf>
    <x:xf numFmtId="0" fontId="4" fillId="3" borderId="178" xfId="0" applyNumberFormat="1" applyFont="1" applyFill="1" applyBorder="1"/>
    <x:xf numFmtId="0" fontId="4" fillId="3" borderId="179" xfId="0" applyNumberFormat="1" applyFont="1" applyFill="1" applyBorder="1"/>
    <x:xf numFmtId="0" fontId="6" fillId="5" borderId="178" xfId="0" applyNumberFormat="1" applyFont="1" applyFill="1" applyBorder="1"/>
    <x:xf numFmtId="200" fontId="10" fillId="7" borderId="179" xfId="0" applyNumberFormat="1" applyFont="1" applyFill="1" applyBorder="1" applyAlignment="1">
      <x:alignment horizontal="right"/>
    </x:xf>
    <x:xf numFmtId="201" fontId="10" fillId="7" borderId="179" xfId="0" applyNumberFormat="1" applyFont="1" applyFill="1" applyBorder="1" applyAlignment="1">
      <x:alignment horizontal="right"/>
    </x:xf>
    <x:xf numFmtId="0" fontId="4" fillId="3" borderId="180" xfId="0" applyNumberFormat="1" applyFont="1" applyFill="1" applyBorder="1"/>
    <x:xf numFmtId="0" fontId="4" fillId="3" borderId="181" xfId="0" applyNumberFormat="1" applyFont="1" applyFill="1" applyBorder="1"/>
    <x:xf numFmtId="0" fontId="6" fillId="5" borderId="180" xfId="0" applyNumberFormat="1" applyFont="1" applyFill="1" applyBorder="1"/>
    <x:xf numFmtId="200" fontId="10" fillId="7" borderId="181" xfId="0" applyNumberFormat="1" applyFont="1" applyFill="1" applyBorder="1" applyAlignment="1">
      <x:alignment horizontal="right"/>
    </x:xf>
    <x:xf numFmtId="201" fontId="10" fillId="7" borderId="181" xfId="0" applyNumberFormat="1" applyFont="1" applyFill="1" applyBorder="1" applyAlignment="1">
      <x:alignment horizontal="right"/>
    </x:xf>
    <x:xf numFmtId="0" fontId="4" fillId="3" borderId="182" xfId="0" applyNumberFormat="1" applyFont="1" applyFill="1" applyBorder="1"/>
    <x:xf numFmtId="0" fontId="4" fillId="3" borderId="183" xfId="0" applyNumberFormat="1" applyFont="1" applyFill="1" applyBorder="1"/>
    <x:xf numFmtId="0" fontId="6" fillId="5" borderId="182" xfId="0" applyNumberFormat="1" applyFont="1" applyFill="1" applyBorder="1"/>
    <x:xf numFmtId="200" fontId="10" fillId="7" borderId="183" xfId="0" applyNumberFormat="1" applyFont="1" applyFill="1" applyBorder="1" applyAlignment="1">
      <x:alignment horizontal="right"/>
    </x:xf>
    <x:xf numFmtId="201" fontId="10" fillId="7" borderId="183" xfId="0" applyNumberFormat="1" applyFont="1" applyFill="1" applyBorder="1" applyAlignment="1">
      <x:alignment horizontal="right"/>
    </x:xf>
    <x:xf numFmtId="0" fontId="4" fillId="3" borderId="184" xfId="0" applyNumberFormat="1" applyFont="1" applyFill="1" applyBorder="1"/>
    <x:xf numFmtId="0" fontId="6" fillId="5" borderId="184" xfId="0" applyNumberFormat="1" applyFont="1" applyFill="1" applyBorder="1"/>
    <x:xf numFmtId="200" fontId="10" fillId="7" borderId="184" xfId="0" applyNumberFormat="1" applyFont="1" applyFill="1" applyBorder="1" applyAlignment="1">
      <x:alignment horizontal="right"/>
    </x:xf>
    <x:xf numFmtId="201" fontId="10" fillId="7" borderId="184" xfId="0" applyNumberFormat="1" applyFont="1" applyFill="1" applyBorder="1" applyAlignment="1">
      <x:alignment horizontal="right"/>
    </x:xf>
    <x:xf numFmtId="0" fontId="4" fillId="3" borderId="185" xfId="0" applyNumberFormat="1" applyFont="1" applyFill="1" applyBorder="1"/>
    <x:xf numFmtId="0" fontId="6" fillId="5" borderId="185" xfId="0" applyNumberFormat="1" applyFont="1" applyFill="1" applyBorder="1"/>
    <x:xf numFmtId="200" fontId="10" fillId="7" borderId="185" xfId="0" applyNumberFormat="1" applyFont="1" applyFill="1" applyBorder="1" applyAlignment="1">
      <x:alignment horizontal="right"/>
    </x:xf>
    <x:xf numFmtId="201" fontId="10" fillId="7" borderId="185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c4f16878c436d" /><Relationship Type="http://schemas.openxmlformats.org/officeDocument/2006/relationships/theme" Target="/xl/theme/theme1.xml" Id="R45136d812a82445c" /><Relationship Type="http://schemas.openxmlformats.org/officeDocument/2006/relationships/sharedStrings" Target="/xl/sharedStrings.xml" Id="R8d8864f9853146e2" /><Relationship Type="http://schemas.openxmlformats.org/officeDocument/2006/relationships/worksheet" Target="/xl/worksheets/sheet1.xml" Id="R1f326a37f8654b92" /><Relationship Type="http://schemas.openxmlformats.org/officeDocument/2006/relationships/worksheet" Target="/xl/worksheets/sheet2.xml" Id="R60ec5f71a7784b25" /><Relationship Type="http://schemas.openxmlformats.org/officeDocument/2006/relationships/worksheet" Target="/xl/worksheets/sheet3.xml" Id="R70520fd36d6d4da8" /><Relationship Type="http://schemas.openxmlformats.org/officeDocument/2006/relationships/worksheet" Target="/xl/worksheets/sheet4.xml" Id="Rcabb05a9a3ee4b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87ffac649d4953" /></Relationships>
</file>

<file path=xl/drawings/charts/chart1.xml><?xml version="1.0" encoding="utf-8"?>
<c:chartSpace xmlns:c="http://schemas.openxmlformats.org/drawingml/2006/chart">
  <c:lang val="en-US"/>
  <c:roundedCorners val="0"/>
  <c:chart>
    <c:spPr>
      <a:solidFill xmlns:a="http://schemas.openxmlformats.org/drawingml/2006/main">
        <a:srgbClr val="EEF4F8"/>
      </a:solidFill>
      <a:ln xmlns:a="http://schemas.openxmlformats.org/drawingml/2006/main">
        <a:solidFill>
          <a:srgbClr val="C4D0DD"/>
        </a:solidFill>
      </a:ln>
    </c:spPr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>
                <a:solidFill>
                  <a:srgbClr val="111827"/>
                </a:solidFill>
              </a:rPr>
              <a:t>Planned vs actual spend by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>
              <a:solidFill>
                <a:srgbClr val="111827"/>
              </a:solidFill>
            </a:defRPr>
          </a:pPr>
        </a:p>
      </c:txPr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Planned</c:v>
          </c:tx>
          <c:spPr>
            <a:solidFill xmlns:a="http://schemas.openxmlformats.org/drawingml/2006/main">
              <a:srgbClr val="0F766E"/>
            </a:solidFill>
            <a:ln xmlns:a="http://schemas.openxmlformats.org/drawingml/2006/main">
              <a:solidFill>
                <a:srgbClr val="0F766E"/>
              </a:solidFill>
            </a:ln>
          </c:spPr>
          <c:cat>
            <c:strRef>
              <c:f>'Dashboard'!$A$16:$A$27</c:f>
              <c:strCache>
                <c:ptCount val="0"/>
              </c:strCache>
            </c:strRef>
          </c:cat>
          <c:val>
            <c:numRef>
              <c:f>'Dashboard'!$B$16:$B$27</c:f>
              <c:numCache>
                <c:formatCode>"AED" #,##0;[Red]-"AED" #,##0</c:formatCode>
                <c:ptCount val="0"/>
              </c:numCache>
            </c:numRef>
          </c:val>
        </c:ser>
        <c:ser>
          <c:idx val="1"/>
          <c:order val="1"/>
          <c:tx>
            <c:v>Actual</c:v>
          </c:tx>
          <c:spPr>
            <a:solidFill xmlns:a="http://schemas.openxmlformats.org/drawingml/2006/main">
              <a:srgbClr val="EA580C"/>
            </a:solidFill>
            <a:ln xmlns:a="http://schemas.openxmlformats.org/drawingml/2006/main">
              <a:solidFill>
                <a:srgbClr val="EA580C"/>
              </a:solidFill>
            </a:ln>
          </c:spPr>
          <c:cat>
            <c:strRef>
              <c:f>'Dashboard'!$A$16:$A$27</c:f>
              <c:strCache>
                <c:ptCount val="0"/>
              </c:strCache>
            </c:strRef>
          </c:cat>
          <c:val>
            <c:numRef>
              <c:f>'Dashboard'!$C$16:$C$27</c:f>
              <c:numCache>
                <c:formatCode>"AED" #,##0;[Red]-"AED"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  <c:spPr>
        <a:solidFill xmlns:a="http://schemas.openxmlformats.org/drawingml/2006/main">
          <a:srgbClr val="FFFFFF"/>
        </a:solidFill>
        <a:ln xmlns:a="http://schemas.openxmlformats.org/drawingml/2006/main">
          <a:solidFill>
            <a:srgbClr val="D9E2EC"/>
          </a:solidFill>
        </a:ln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solidFill>
                <a:srgbClr val="52606D"/>
              </a:solidFill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7</xdr:row>
      <xdr:rowOff>0</xdr:rowOff>
    </xdr:from>
    <xdr:ext cx="6667500" cy="3143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87ffac649d495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ea44846a5a0d4d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709999084472656" hidden="0" customWidth="1"/>
    <x:col min="2" max="2" width="36.43000030517578" hidden="0" customWidth="1"/>
    <x:col min="3" max="3" width="30.709999084472656" hidden="0" customWidth="1"/>
    <x:col min="4" max="4" width="30.709999084472656" hidden="0" customWidth="1"/>
    <x:col min="5" max="5" width="30.709999084472656" hidden="0" customWidth="1"/>
    <x:col min="6" max="6" width="30.709999084472656" hidden="0" customWidth="1"/>
    <x:col min="7" max="7" width="30.709999084472656" hidden="0" customWidth="1"/>
    <x:col min="8" max="8" width="30.709999084472656" hidden="0" customWidth="1"/>
  </x:cols>
  <x:sheetData>
    <x:row r="1" ht="25.5" customHeight="1">
      <x:c r="A1" s="56" t="str">
        <x:v>Annual Marketing Budget Planner</x:v>
      </x:c>
      <x:c r="B1" s="32"/>
      <x:c r="C1" s="32"/>
      <x:c r="D1" s="32"/>
      <x:c r="E1" s="32"/>
      <x:c r="F1" s="32"/>
      <x:c r="G1" s="32"/>
      <x:c r="H1" s="80"/>
      <x:c r="I1" s="6"/>
      <x:c r="J1" s="6"/>
    </x:row>
    <x:row r="2" ht="25.5" customHeight="1">
      <x:c r="A2" s="57"/>
      <x:c r="B2" s="18"/>
      <x:c r="C2" s="18"/>
      <x:c r="D2" s="18"/>
      <x:c r="E2" s="18"/>
      <x:c r="F2" s="18"/>
      <x:c r="G2" s="18"/>
      <x:c r="H2" s="81"/>
      <x:c r="I2" s="6"/>
      <x:c r="J2" s="6"/>
    </x:row>
    <x:row r="3" ht="19.5" customHeight="1">
      <x:c r="A3" s="58" t="str">
        <x:v>Plan and review restaurant marketing spend with actual-vs-plan visibility by channel and by month.</x:v>
      </x:c>
      <x:c r="B3" s="26"/>
      <x:c r="C3" s="26"/>
      <x:c r="D3" s="26"/>
      <x:c r="E3" s="26"/>
      <x:c r="F3" s="26"/>
      <x:c r="G3" s="26"/>
      <x:c r="H3" s="82"/>
      <x:c r="I3" s="6"/>
      <x:c r="J3" s="6"/>
    </x:row>
    <x:row r="4" ht="19.5" customHeight="1">
      <x:c r="A4" s="59"/>
      <x:c r="B4" s="38"/>
      <x:c r="C4" s="38"/>
      <x:c r="D4" s="38"/>
      <x:c r="E4" s="38"/>
      <x:c r="F4" s="38"/>
      <x:c r="G4" s="38"/>
      <x:c r="H4" s="83"/>
      <x:c r="I4" s="6"/>
      <x:c r="J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>
      <x:c r="A6" s="108" t="str">
        <x:v>Document control</x:v>
      </x:c>
      <x:c r="B6" s="102" t="str"/>
      <x:c r="C6" s="102" t="str"/>
      <x:c r="D6" s="114" t="str"/>
      <x:c r="E6" s="6"/>
      <x:c r="F6" s="6"/>
      <x:c r="G6" s="6"/>
      <x:c r="H6" s="6"/>
      <x:c r="I6" s="6"/>
      <x:c r="J6" s="6"/>
    </x:row>
    <x:row r="7">
      <x:c r="A7" s="168" t="str">
        <x:v>Audience</x:v>
      </x:c>
      <x:c r="B7" s="169" t="str">
        <x:v>Founders, growth leads, finance-aware marketing managers, expansion teams</x:v>
      </x:c>
      <x:c r="C7" s="6"/>
      <x:c r="D7" s="6"/>
      <x:c r="E7" s="6"/>
      <x:c r="F7" s="6"/>
      <x:c r="G7" s="6"/>
      <x:c r="H7" s="6"/>
      <x:c r="I7" s="6"/>
      <x:c r="J7" s="6"/>
    </x:row>
    <x:row r="8">
      <x:c r="A8" s="168" t="str">
        <x:v>Primary outcome</x:v>
      </x:c>
      <x:c r="B8" s="169" t="str">
        <x:v>A clear view of where marketing money is committed, drifting, or underutilized across the year.</x:v>
      </x:c>
      <x:c r="C8" s="6"/>
      <x:c r="D8" s="6"/>
      <x:c r="E8" s="6"/>
      <x:c r="F8" s="6"/>
      <x:c r="G8" s="6"/>
      <x:c r="H8" s="6"/>
      <x:c r="I8" s="6"/>
      <x:c r="J8" s="6"/>
    </x:row>
    <x:row r="9">
      <x:c r="A9" s="168" t="str">
        <x:v>Version</x:v>
      </x:c>
      <x:c r="B9" s="169" t="str">
        <x:v>1.0</x:v>
      </x:c>
      <x:c r="C9" s="6"/>
      <x:c r="D9" s="6"/>
      <x:c r="E9" s="6"/>
      <x:c r="F9" s="6"/>
      <x:c r="G9" s="6"/>
      <x:c r="H9" s="6"/>
      <x:c r="I9" s="6"/>
      <x:c r="J9" s="6"/>
    </x:row>
    <x:row r="10">
      <x:c r="A10" s="168" t="str">
        <x:v>Last updated</x:v>
      </x:c>
      <x:c r="B10" s="169" t="str">
        <x:v>19-Apr-2026</x:v>
      </x:c>
      <x:c r="C10" s="6"/>
      <x:c r="D10" s="6"/>
      <x:c r="E10" s="6"/>
      <x:c r="F10" s="6"/>
      <x:c r="G10" s="6"/>
      <x:c r="H10" s="6"/>
      <x:c r="I10" s="6"/>
      <x:c r="J10" s="6"/>
    </x:row>
    <x:row r="11">
      <x:c r="A11" s="168" t="str">
        <x:v>Editable cells</x:v>
      </x:c>
      <x:c r="B11" s="169" t="str">
        <x:v>Amber cells</x:v>
      </x:c>
      <x:c r="C11" s="6"/>
      <x:c r="D11" s="6"/>
      <x:c r="E11" s="6"/>
      <x:c r="F11" s="6"/>
      <x:c r="G11" s="6"/>
      <x:c r="H11" s="6"/>
      <x:c r="I11" s="6"/>
      <x:c r="J11" s="6"/>
    </x:row>
    <x:row r="12">
      <x:c r="A12" s="168" t="str">
        <x:v>Review rhythm</x:v>
      </x:c>
      <x:c r="B12" s="169" t="str">
        <x:v>Weekly during active campaigns, monthly for planning</x:v>
      </x:c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108" t="str">
        <x:v>What this workbook helps you control</x:v>
      </x:c>
      <x:c r="B14" s="102"/>
      <x:c r="C14" s="102"/>
      <x:c r="D14" s="102"/>
      <x:c r="E14" s="102"/>
      <x:c r="F14" s="102"/>
      <x:c r="G14" s="102"/>
      <x:c r="H14" s="114"/>
      <x:c r="I14" s="6"/>
      <x:c r="J14" s="6"/>
    </x:row>
    <x:row r="15" ht="19.5" customHeight="1">
      <x:c r="A15" s="178" t="str">
        <x:v>1. Keep budget control visible by channel, not just one monthly total.</x:v>
      </x:c>
      <x:c r="B15" s="178"/>
      <x:c r="C15" s="178"/>
      <x:c r="D15" s="178"/>
      <x:c r="E15" s="178"/>
      <x:c r="F15" s="178"/>
      <x:c r="G15" s="178"/>
      <x:c r="H15" s="178"/>
      <x:c r="I15" s="6"/>
      <x:c r="J15" s="6"/>
    </x:row>
    <x:row r="16" ht="19.5" customHeight="1">
      <x:c r="A16" s="178" t="str">
        <x:v>2. Review plan vs actual before overspend becomes a year-end story.</x:v>
      </x:c>
      <x:c r="B16" s="178"/>
      <x:c r="C16" s="178"/>
      <x:c r="D16" s="178"/>
      <x:c r="E16" s="178"/>
      <x:c r="F16" s="178"/>
      <x:c r="G16" s="178"/>
      <x:c r="H16" s="178"/>
      <x:c r="I16" s="6"/>
      <x:c r="J16" s="6"/>
    </x:row>
    <x:row r="17" ht="19.5" customHeight="1">
      <x:c r="A17" s="178" t="str">
        <x:v>3. Use the dashboard to explain where variance is happening and why.</x:v>
      </x:c>
      <x:c r="B17" s="178"/>
      <x:c r="C17" s="178"/>
      <x:c r="D17" s="178"/>
      <x:c r="E17" s="178"/>
      <x:c r="F17" s="178"/>
      <x:c r="G17" s="178"/>
      <x:c r="H17" s="178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288" t="str">
        <x:v>Input cell</x:v>
      </x:c>
      <x:c r="B20" s="289" t="str">
        <x:v>Starter assumption or editable user entry</x:v>
      </x:c>
      <x:c r="C20" s="6"/>
      <x:c r="D20" s="6"/>
      <x:c r="E20" s="6"/>
      <x:c r="F20" s="6"/>
      <x:c r="G20" s="6"/>
      <x:c r="H20" s="6"/>
      <x:c r="I20" s="6"/>
      <x:c r="J20" s="6"/>
    </x:row>
    <x:row r="21">
      <x:c r="A21" s="290" t="str">
        <x:v>Formula cell</x:v>
      </x:c>
      <x:c r="B21" s="289" t="str">
        <x:v>Calculated output - keep these logic cells intact</x:v>
      </x:c>
      <x:c r="C21" s="6"/>
      <x:c r="D21" s="6"/>
      <x:c r="E21" s="6"/>
      <x:c r="F21" s="6"/>
      <x:c r="G21" s="6"/>
      <x:c r="H21" s="6"/>
      <x:c r="I21" s="6"/>
      <x:c r="J21" s="6"/>
    </x:row>
    <x:row r="22">
      <x:c r="A22" s="291" t="str">
        <x:v>Control note</x:v>
      </x:c>
      <x:c r="B22" s="289" t="str">
        <x:v>Use this area for assumptions, approvals, and reviewer sign-off</x:v>
      </x:c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 ht="18" customHeight="1">
      <x:c r="A25" s="386" t="str">
        <x:v>Tab</x:v>
      </x:c>
      <x:c r="B25" s="386" t="str">
        <x:v>Purpose</x:v>
      </x:c>
      <x:c r="C25" s="6"/>
      <x:c r="D25" s="6"/>
      <x:c r="E25" s="6"/>
      <x:c r="F25" s="6"/>
      <x:c r="G25" s="6"/>
      <x:c r="H25" s="6"/>
      <x:c r="I25" s="6"/>
      <x:c r="J25" s="6"/>
    </x:row>
    <x:row r="26" ht="19.5" customHeight="1">
      <x:c r="A26" s="387" t="str">
        <x:v>Budget</x:v>
      </x:c>
      <x:c r="B26" s="387" t="str">
        <x:v>The annual plan by marketing channel and month.</x:v>
      </x:c>
      <x:c r="C26" s="6"/>
      <x:c r="D26" s="6"/>
      <x:c r="E26" s="6"/>
      <x:c r="F26" s="6"/>
      <x:c r="G26" s="6"/>
      <x:c r="H26" s="6"/>
      <x:c r="I26" s="6"/>
      <x:c r="J26" s="6"/>
    </x:row>
    <x:row r="27" ht="19.5" customHeight="1">
      <x:c r="A27" s="387" t="str">
        <x:v>Actuals</x:v>
      </x:c>
      <x:c r="B27" s="387" t="str">
        <x:v>What was actually spent, using the same channel structure.</x:v>
      </x:c>
      <x:c r="C27" s="6"/>
      <x:c r="D27" s="6"/>
      <x:c r="E27" s="6"/>
      <x:c r="F27" s="6"/>
      <x:c r="G27" s="6"/>
      <x:c r="H27" s="6"/>
      <x:c r="I27" s="6"/>
      <x:c r="J27" s="6"/>
    </x:row>
    <x:row r="28" ht="19.5" customHeight="1">
      <x:c r="A28" s="387" t="str">
        <x:v>Dashboard</x:v>
      </x:c>
      <x:c r="B28" s="387" t="str">
        <x:v>Monthly variance summary for operator and finance review.</x:v>
      </x:c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</x:sheetData>
  <x:mergeCells>
    <x:mergeCell ref="A1:H2"/>
    <x:mergeCell ref="A3:H4"/>
    <x:mergeCell ref="A6:D6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290000915527344" hidden="0" customWidth="1"/>
    <x:col min="2" max="2" width="12.859999656677246" hidden="0" customWidth="1"/>
    <x:col min="3" max="3" width="12.859999656677246" hidden="0" customWidth="1"/>
    <x:col min="4" max="4" width="12.859999656677246" hidden="0" customWidth="1"/>
    <x:col min="5" max="5" width="12.859999656677246" hidden="0" customWidth="1"/>
    <x:col min="6" max="6" width="12.859999656677246" hidden="0" customWidth="1"/>
    <x:col min="7" max="7" width="12.859999656677246" hidden="0" customWidth="1"/>
    <x:col min="8" max="8" width="12.859999656677246" hidden="0" customWidth="1"/>
    <x:col min="9" max="9" width="12.859999656677246" hidden="0" customWidth="1"/>
    <x:col min="10" max="10" width="12.859999656677246" hidden="0" customWidth="1"/>
    <x:col min="11" max="11" width="12.859999656677246" hidden="0" customWidth="1"/>
    <x:col min="12" max="12" width="12.859999656677246" hidden="0" customWidth="1"/>
    <x:col min="13" max="13" width="12.859999656677246" hidden="0" customWidth="1"/>
    <x:col min="14" max="14" width="15" hidden="0" customWidth="1"/>
  </x:cols>
  <x:sheetData>
    <x:row r="1" ht="25.5" customHeight="1">
      <x:c r="A1" s="56" t="str">
        <x:v>Budget Plan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80"/>
      <x:c r="O1" s="6"/>
      <x:c r="P1" s="6"/>
    </x:row>
    <x:row r="2" ht="25.5" customHeight="1">
      <x:c r="A2" s="57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81"/>
      <x:c r="O2" s="6"/>
      <x:c r="P2" s="6"/>
    </x:row>
    <x:row r="3" ht="19.5" customHeight="1">
      <x:c r="A3" s="58" t="str">
        <x:v>Set the intended monthly spend before the year starts moving.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82"/>
      <x:c r="O3" s="6"/>
      <x:c r="P3" s="6"/>
    </x:row>
    <x:row r="4" ht="19.5" customHeight="1">
      <x:c r="A4" s="59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83"/>
      <x:c r="O4" s="6"/>
      <x:c r="P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</x:row>
    <x:row r="8" ht="18" customHeight="1">
      <x:c r="A8" s="386" t="str">
        <x:v>Channel</x:v>
      </x:c>
      <x:c r="B8" s="386" t="str">
        <x:v>Jan</x:v>
      </x:c>
      <x:c r="C8" s="386" t="str">
        <x:v>Feb</x:v>
      </x:c>
      <x:c r="D8" s="386" t="str">
        <x:v>Mar</x:v>
      </x:c>
      <x:c r="E8" s="386" t="str">
        <x:v>Apr</x:v>
      </x:c>
      <x:c r="F8" s="386" t="str">
        <x:v>May</x:v>
      </x:c>
      <x:c r="G8" s="386" t="str">
        <x:v>Jun</x:v>
      </x:c>
      <x:c r="H8" s="386" t="str">
        <x:v>Jul</x:v>
      </x:c>
      <x:c r="I8" s="386" t="str">
        <x:v>Aug</x:v>
      </x:c>
      <x:c r="J8" s="386" t="str">
        <x:v>Sep</x:v>
      </x:c>
      <x:c r="K8" s="386" t="str">
        <x:v>Oct</x:v>
      </x:c>
      <x:c r="L8" s="386" t="str">
        <x:v>Nov</x:v>
      </x:c>
      <x:c r="M8" s="386" t="str">
        <x:v>Dec</x:v>
      </x:c>
      <x:c r="N8" s="386" t="str">
        <x:v>Total</x:v>
      </x:c>
      <x:c r="O8" s="6"/>
      <x:c r="P8" s="6"/>
    </x:row>
    <x:row r="9" ht="19.5" customHeight="1">
      <x:c r="A9" s="387" t="str">
        <x:v>Brand campaigns</x:v>
      </x:c>
      <x:c r="B9" s="452" t="n">
        <x:v>7000</x:v>
      </x:c>
      <x:c r="C9" s="452" t="n">
        <x:v>9000</x:v>
      </x:c>
      <x:c r="D9" s="452" t="n">
        <x:v>12000</x:v>
      </x:c>
      <x:c r="E9" s="452" t="n">
        <x:v>15000</x:v>
      </x:c>
      <x:c r="F9" s="452" t="n">
        <x:v>6000</x:v>
      </x:c>
      <x:c r="G9" s="452" t="n">
        <x:v>8000</x:v>
      </x:c>
      <x:c r="H9" s="452" t="n">
        <x:v>8500</x:v>
      </x:c>
      <x:c r="I9" s="452" t="n">
        <x:v>5000</x:v>
      </x:c>
      <x:c r="J9" s="452" t="n">
        <x:v>10000</x:v>
      </x:c>
      <x:c r="K9" s="452" t="n">
        <x:v>7500</x:v>
      </x:c>
      <x:c r="L9" s="452" t="n">
        <x:v>6500</x:v>
      </x:c>
      <x:c r="M9" s="452" t="n">
        <x:v>14000</x:v>
      </x:c>
      <x:c r="N9" s="456" t="n">
        <x:f>SUM(B9:M9)</x:f>
        <x:v>108500</x:v>
      </x:c>
      <x:c r="O9" s="6"/>
      <x:c r="P9" s="6"/>
    </x:row>
    <x:row r="10" ht="19.5" customHeight="1">
      <x:c r="A10" s="387" t="str">
        <x:v>Local store marketing</x:v>
      </x:c>
      <x:c r="B10" s="452" t="n">
        <x:v>2500</x:v>
      </x:c>
      <x:c r="C10" s="452" t="n">
        <x:v>2500</x:v>
      </x:c>
      <x:c r="D10" s="452" t="n">
        <x:v>4000</x:v>
      </x:c>
      <x:c r="E10" s="452" t="n">
        <x:v>3500</x:v>
      </x:c>
      <x:c r="F10" s="452" t="n">
        <x:v>4500</x:v>
      </x:c>
      <x:c r="G10" s="452" t="n">
        <x:v>3500</x:v>
      </x:c>
      <x:c r="H10" s="452" t="n">
        <x:v>4200</x:v>
      </x:c>
      <x:c r="I10" s="452" t="n">
        <x:v>2800</x:v>
      </x:c>
      <x:c r="J10" s="452" t="n">
        <x:v>4600</x:v>
      </x:c>
      <x:c r="K10" s="452" t="n">
        <x:v>4200</x:v>
      </x:c>
      <x:c r="L10" s="452" t="n">
        <x:v>3800</x:v>
      </x:c>
      <x:c r="M10" s="452" t="n">
        <x:v>5200</x:v>
      </x:c>
      <x:c r="N10" s="456" t="n">
        <x:f>SUM(B10:M10)</x:f>
        <x:v>45300</x:v>
      </x:c>
      <x:c r="O10" s="6"/>
      <x:c r="P10" s="6"/>
    </x:row>
    <x:row r="11" ht="19.5" customHeight="1">
      <x:c r="A11" s="387" t="str">
        <x:v>Performance ads</x:v>
      </x:c>
      <x:c r="B11" s="452" t="n">
        <x:v>4500</x:v>
      </x:c>
      <x:c r="C11" s="452" t="n">
        <x:v>5000</x:v>
      </x:c>
      <x:c r="D11" s="452" t="n">
        <x:v>6500</x:v>
      </x:c>
      <x:c r="E11" s="452" t="n">
        <x:v>7000</x:v>
      </x:c>
      <x:c r="F11" s="452" t="n">
        <x:v>4800</x:v>
      </x:c>
      <x:c r="G11" s="452" t="n">
        <x:v>5200</x:v>
      </x:c>
      <x:c r="H11" s="452" t="n">
        <x:v>6000</x:v>
      </x:c>
      <x:c r="I11" s="452" t="n">
        <x:v>4200</x:v>
      </x:c>
      <x:c r="J11" s="452" t="n">
        <x:v>6300</x:v>
      </x:c>
      <x:c r="K11" s="452" t="n">
        <x:v>5600</x:v>
      </x:c>
      <x:c r="L11" s="452" t="n">
        <x:v>5200</x:v>
      </x:c>
      <x:c r="M11" s="452" t="n">
        <x:v>7500</x:v>
      </x:c>
      <x:c r="N11" s="456" t="n">
        <x:f>SUM(B11:M11)</x:f>
        <x:v>67800</x:v>
      </x:c>
      <x:c r="O11" s="6"/>
      <x:c r="P11" s="6"/>
    </x:row>
    <x:row r="12" ht="19.5" customHeight="1">
      <x:c r="A12" s="387" t="str">
        <x:v>Content production</x:v>
      </x:c>
      <x:c r="B12" s="452" t="n">
        <x:v>3800</x:v>
      </x:c>
      <x:c r="C12" s="452" t="n">
        <x:v>4200</x:v>
      </x:c>
      <x:c r="D12" s="452" t="n">
        <x:v>4300</x:v>
      </x:c>
      <x:c r="E12" s="452" t="n">
        <x:v>4800</x:v>
      </x:c>
      <x:c r="F12" s="452" t="n">
        <x:v>3600</x:v>
      </x:c>
      <x:c r="G12" s="452" t="n">
        <x:v>4300</x:v>
      </x:c>
      <x:c r="H12" s="452" t="n">
        <x:v>4500</x:v>
      </x:c>
      <x:c r="I12" s="452" t="n">
        <x:v>3200</x:v>
      </x:c>
      <x:c r="J12" s="452" t="n">
        <x:v>4700</x:v>
      </x:c>
      <x:c r="K12" s="452" t="n">
        <x:v>4200</x:v>
      </x:c>
      <x:c r="L12" s="452" t="n">
        <x:v>3900</x:v>
      </x:c>
      <x:c r="M12" s="452" t="n">
        <x:v>5200</x:v>
      </x:c>
      <x:c r="N12" s="456" t="n">
        <x:f>SUM(B12:M12)</x:f>
        <x:v>50700</x:v>
      </x:c>
      <x:c r="O12" s="6"/>
      <x:c r="P12" s="6"/>
    </x:row>
    <x:row r="13" ht="19.5" customHeight="1">
      <x:c r="A13" s="387" t="str">
        <x:v>CRM &amp; loyalty</x:v>
      </x:c>
      <x:c r="B13" s="452" t="n">
        <x:v>1500</x:v>
      </x:c>
      <x:c r="C13" s="452" t="n">
        <x:v>1700</x:v>
      </x:c>
      <x:c r="D13" s="452" t="n">
        <x:v>2200</x:v>
      </x:c>
      <x:c r="E13" s="452" t="n">
        <x:v>2400</x:v>
      </x:c>
      <x:c r="F13" s="452" t="n">
        <x:v>1800</x:v>
      </x:c>
      <x:c r="G13" s="452" t="n">
        <x:v>1900</x:v>
      </x:c>
      <x:c r="H13" s="452" t="n">
        <x:v>2100</x:v>
      </x:c>
      <x:c r="I13" s="452" t="n">
        <x:v>1700</x:v>
      </x:c>
      <x:c r="J13" s="452" t="n">
        <x:v>2300</x:v>
      </x:c>
      <x:c r="K13" s="452" t="n">
        <x:v>2200</x:v>
      </x:c>
      <x:c r="L13" s="452" t="n">
        <x:v>2100</x:v>
      </x:c>
      <x:c r="M13" s="452" t="n">
        <x:v>2800</x:v>
      </x:c>
      <x:c r="N13" s="456" t="n">
        <x:f>SUM(B13:M13)</x:f>
        <x:v>24700</x:v>
      </x:c>
      <x:c r="O13" s="6"/>
      <x:c r="P13" s="6"/>
    </x:row>
    <x:row r="14" ht="19.5" customHeight="1">
      <x:c r="A14" s="387" t="str">
        <x:v>Influencers / PR</x:v>
      </x:c>
      <x:c r="B14" s="452" t="n">
        <x:v>1800</x:v>
      </x:c>
      <x:c r="C14" s="452" t="n">
        <x:v>2200</x:v>
      </x:c>
      <x:c r="D14" s="452" t="n">
        <x:v>2600</x:v>
      </x:c>
      <x:c r="E14" s="452" t="n">
        <x:v>2800</x:v>
      </x:c>
      <x:c r="F14" s="452" t="n">
        <x:v>1600</x:v>
      </x:c>
      <x:c r="G14" s="452" t="n">
        <x:v>2000</x:v>
      </x:c>
      <x:c r="H14" s="452" t="n">
        <x:v>1900</x:v>
      </x:c>
      <x:c r="I14" s="452" t="n">
        <x:v>1500</x:v>
      </x:c>
      <x:c r="J14" s="452" t="n">
        <x:v>2500</x:v>
      </x:c>
      <x:c r="K14" s="452" t="n">
        <x:v>2600</x:v>
      </x:c>
      <x:c r="L14" s="452" t="n">
        <x:v>2400</x:v>
      </x:c>
      <x:c r="M14" s="452" t="n">
        <x:v>3200</x:v>
      </x:c>
      <x:c r="N14" s="456" t="n">
        <x:f>SUM(B14:M14)</x:f>
        <x:v>27100</x:v>
      </x:c>
      <x:c r="O14" s="6"/>
      <x:c r="P14" s="6"/>
    </x:row>
    <x:row r="15" ht="19.5" customHeight="1">
      <x:c r="A15" s="387" t="str">
        <x:v>Photography / video</x:v>
      </x:c>
      <x:c r="B15" s="452" t="n">
        <x:v>2500</x:v>
      </x:c>
      <x:c r="C15" s="452" t="n">
        <x:v>1800</x:v>
      </x:c>
      <x:c r="D15" s="452" t="n">
        <x:v>2300</x:v>
      </x:c>
      <x:c r="E15" s="452" t="n">
        <x:v>2700</x:v>
      </x:c>
      <x:c r="F15" s="452" t="n">
        <x:v>1500</x:v>
      </x:c>
      <x:c r="G15" s="452" t="n">
        <x:v>1800</x:v>
      </x:c>
      <x:c r="H15" s="452" t="n">
        <x:v>1900</x:v>
      </x:c>
      <x:c r="I15" s="452" t="n">
        <x:v>1400</x:v>
      </x:c>
      <x:c r="J15" s="452" t="n">
        <x:v>2400</x:v>
      </x:c>
      <x:c r="K15" s="452" t="n">
        <x:v>2600</x:v>
      </x:c>
      <x:c r="L15" s="452" t="n">
        <x:v>2000</x:v>
      </x:c>
      <x:c r="M15" s="452" t="n">
        <x:v>2600</x:v>
      </x:c>
      <x:c r="N15" s="456" t="n">
        <x:f>SUM(B15:M15)</x:f>
        <x:v>25500</x:v>
      </x:c>
      <x:c r="O15" s="6"/>
      <x:c r="P15" s="6"/>
    </x:row>
    <x:row r="16" ht="19.5" customHeight="1">
      <x:c r="A16" s="387" t="str">
        <x:v>POS / print / signage</x:v>
      </x:c>
      <x:c r="B16" s="452" t="n">
        <x:v>1200</x:v>
      </x:c>
      <x:c r="C16" s="452" t="n">
        <x:v>1500</x:v>
      </x:c>
      <x:c r="D16" s="452" t="n">
        <x:v>1700</x:v>
      </x:c>
      <x:c r="E16" s="452" t="n">
        <x:v>2100</x:v>
      </x:c>
      <x:c r="F16" s="452" t="n">
        <x:v>1500</x:v>
      </x:c>
      <x:c r="G16" s="452" t="n">
        <x:v>1600</x:v>
      </x:c>
      <x:c r="H16" s="452" t="n">
        <x:v>1700</x:v>
      </x:c>
      <x:c r="I16" s="452" t="n">
        <x:v>1300</x:v>
      </x:c>
      <x:c r="J16" s="452" t="n">
        <x:v>1800</x:v>
      </x:c>
      <x:c r="K16" s="452" t="n">
        <x:v>1600</x:v>
      </x:c>
      <x:c r="L16" s="452" t="n">
        <x:v>1500</x:v>
      </x:c>
      <x:c r="M16" s="452" t="n">
        <x:v>2200</x:v>
      </x:c>
      <x:c r="N16" s="456" t="n">
        <x:f>SUM(B16:M16)</x:f>
        <x:v>19700</x:v>
      </x:c>
      <x:c r="O16" s="6"/>
      <x:c r="P16" s="6"/>
    </x:row>
    <x:row r="17" ht="19.5" customHeight="1">
      <x:c r="A17" s="387" t="str">
        <x:v>Launch support</x:v>
      </x:c>
      <x:c r="B17" s="452" t="n">
        <x:v>0</x:v>
      </x:c>
      <x:c r="C17" s="452" t="n">
        <x:v>0</x:v>
      </x:c>
      <x:c r="D17" s="452" t="n">
        <x:v>2500</x:v>
      </x:c>
      <x:c r="E17" s="452" t="n">
        <x:v>3000</x:v>
      </x:c>
      <x:c r="F17" s="452" t="n">
        <x:v>0</x:v>
      </x:c>
      <x:c r="G17" s="452" t="n">
        <x:v>0</x:v>
      </x:c>
      <x:c r="H17" s="452" t="n">
        <x:v>2200</x:v>
      </x:c>
      <x:c r="I17" s="452" t="n">
        <x:v>0</x:v>
      </x:c>
      <x:c r="J17" s="452" t="n">
        <x:v>0</x:v>
      </x:c>
      <x:c r="K17" s="452" t="n">
        <x:v>2600</x:v>
      </x:c>
      <x:c r="L17" s="452" t="n">
        <x:v>0</x:v>
      </x:c>
      <x:c r="M17" s="452" t="n">
        <x:v>0</x:v>
      </x:c>
      <x:c r="N17" s="456" t="n">
        <x:f>SUM(B17:M17)</x:f>
        <x:v>10300</x:v>
      </x:c>
      <x:c r="O17" s="6"/>
      <x:c r="P17" s="6"/>
    </x:row>
    <x:row r="18" ht="19.5" customHeight="1">
      <x:c r="A18" s="387" t="str">
        <x:v>Experiment budget</x:v>
      </x:c>
      <x:c r="B18" s="452" t="n">
        <x:v>1000</x:v>
      </x:c>
      <x:c r="C18" s="452" t="n">
        <x:v>1200</x:v>
      </x:c>
      <x:c r="D18" s="452" t="n">
        <x:v>1500</x:v>
      </x:c>
      <x:c r="E18" s="452" t="n">
        <x:v>1500</x:v>
      </x:c>
      <x:c r="F18" s="452" t="n">
        <x:v>1000</x:v>
      </x:c>
      <x:c r="G18" s="452" t="n">
        <x:v>1200</x:v>
      </x:c>
      <x:c r="H18" s="452" t="n">
        <x:v>1300</x:v>
      </x:c>
      <x:c r="I18" s="452" t="n">
        <x:v>1000</x:v>
      </x:c>
      <x:c r="J18" s="452" t="n">
        <x:v>1500</x:v>
      </x:c>
      <x:c r="K18" s="452" t="n">
        <x:v>1400</x:v>
      </x:c>
      <x:c r="L18" s="452" t="n">
        <x:v>1200</x:v>
      </x:c>
      <x:c r="M18" s="452" t="n">
        <x:v>1600</x:v>
      </x:c>
      <x:c r="N18" s="456" t="n">
        <x:f>SUM(B18:M18)</x:f>
        <x:v>15400</x:v>
      </x:c>
      <x:c r="O18" s="6"/>
      <x:c r="P18" s="6"/>
    </x:row>
    <x:row r="19" ht="19.5" customHeight="1">
      <x:c r="A19" s="387" t="str">
        <x:v>Total</x:v>
      </x:c>
      <x:c r="B19" s="448" t="n">
        <x:f>SUM(B9:B18)</x:f>
        <x:v>25800</x:v>
      </x:c>
      <x:c r="C19" s="448" t="n">
        <x:f>SUM(C9:C18)</x:f>
        <x:v>29100</x:v>
      </x:c>
      <x:c r="D19" s="448" t="n">
        <x:f>SUM(D9:D18)</x:f>
        <x:v>39600</x:v>
      </x:c>
      <x:c r="E19" s="448" t="n">
        <x:f>SUM(E9:E18)</x:f>
        <x:v>44800</x:v>
      </x:c>
      <x:c r="F19" s="448" t="n">
        <x:f>SUM(F9:F18)</x:f>
        <x:v>26300</x:v>
      </x:c>
      <x:c r="G19" s="448" t="n">
        <x:f>SUM(G9:G18)</x:f>
        <x:v>29500</x:v>
      </x:c>
      <x:c r="H19" s="448" t="n">
        <x:f>SUM(H9:H18)</x:f>
        <x:v>34300</x:v>
      </x:c>
      <x:c r="I19" s="448" t="n">
        <x:f>SUM(I9:I18)</x:f>
        <x:v>22100</x:v>
      </x:c>
      <x:c r="J19" s="448" t="n">
        <x:f>SUM(J9:J18)</x:f>
        <x:v>36100</x:v>
      </x:c>
      <x:c r="K19" s="448" t="n">
        <x:f>SUM(K9:K18)</x:f>
        <x:v>34500</x:v>
      </x:c>
      <x:c r="L19" s="448" t="n">
        <x:f>SUM(L9:L18)</x:f>
        <x:v>28600</x:v>
      </x:c>
      <x:c r="M19" s="448" t="n">
        <x:f>SUM(M9:M18)</x:f>
        <x:v>44300</x:v>
      </x:c>
      <x:c r="N19" s="456" t="n">
        <x:f>SUM(N9:N18)</x:f>
        <x:v>395000</x:v>
      </x:c>
      <x:c r="O19" s="6"/>
      <x:c r="P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</x:row>
  </x:sheetData>
  <x:mergeCells>
    <x:mergeCell ref="A1:N2"/>
    <x:mergeCell ref="A3:N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290000915527344" hidden="0" customWidth="1"/>
    <x:col min="2" max="2" width="12.859999656677246" hidden="0" customWidth="1"/>
    <x:col min="3" max="3" width="12.859999656677246" hidden="0" customWidth="1"/>
    <x:col min="4" max="4" width="12.859999656677246" hidden="0" customWidth="1"/>
    <x:col min="5" max="5" width="12.859999656677246" hidden="0" customWidth="1"/>
    <x:col min="6" max="6" width="12.859999656677246" hidden="0" customWidth="1"/>
    <x:col min="7" max="7" width="12.859999656677246" hidden="0" customWidth="1"/>
    <x:col min="8" max="8" width="12.859999656677246" hidden="0" customWidth="1"/>
    <x:col min="9" max="9" width="12.859999656677246" hidden="0" customWidth="1"/>
    <x:col min="10" max="10" width="12.859999656677246" hidden="0" customWidth="1"/>
    <x:col min="11" max="11" width="12.859999656677246" hidden="0" customWidth="1"/>
    <x:col min="12" max="12" width="12.859999656677246" hidden="0" customWidth="1"/>
    <x:col min="13" max="13" width="12.859999656677246" hidden="0" customWidth="1"/>
    <x:col min="14" max="14" width="15" hidden="0" customWidth="1"/>
  </x:cols>
  <x:sheetData>
    <x:row r="1" ht="25.5" customHeight="1">
      <x:c r="A1" s="56" t="str">
        <x:v>Actual Spend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80"/>
      <x:c r="O1" s="6"/>
      <x:c r="P1" s="6"/>
    </x:row>
    <x:row r="2" ht="25.5" customHeight="1">
      <x:c r="A2" s="57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81"/>
      <x:c r="O2" s="6"/>
      <x:c r="P2" s="6"/>
    </x:row>
    <x:row r="3" ht="19.5" customHeight="1">
      <x:c r="A3" s="58" t="str">
        <x:v>Use the same channel lines so variance conversations stay clean.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82"/>
      <x:c r="O3" s="6"/>
      <x:c r="P3" s="6"/>
    </x:row>
    <x:row r="4" ht="19.5" customHeight="1">
      <x:c r="A4" s="59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83"/>
      <x:c r="O4" s="6"/>
      <x:c r="P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</x:row>
    <x:row r="8" ht="18" customHeight="1">
      <x:c r="A8" s="386" t="str">
        <x:v>Channel</x:v>
      </x:c>
      <x:c r="B8" s="386" t="str">
        <x:v>Jan</x:v>
      </x:c>
      <x:c r="C8" s="386" t="str">
        <x:v>Feb</x:v>
      </x:c>
      <x:c r="D8" s="386" t="str">
        <x:v>Mar</x:v>
      </x:c>
      <x:c r="E8" s="386" t="str">
        <x:v>Apr</x:v>
      </x:c>
      <x:c r="F8" s="386" t="str">
        <x:v>May</x:v>
      </x:c>
      <x:c r="G8" s="386" t="str">
        <x:v>Jun</x:v>
      </x:c>
      <x:c r="H8" s="386" t="str">
        <x:v>Jul</x:v>
      </x:c>
      <x:c r="I8" s="386" t="str">
        <x:v>Aug</x:v>
      </x:c>
      <x:c r="J8" s="386" t="str">
        <x:v>Sep</x:v>
      </x:c>
      <x:c r="K8" s="386" t="str">
        <x:v>Oct</x:v>
      </x:c>
      <x:c r="L8" s="386" t="str">
        <x:v>Nov</x:v>
      </x:c>
      <x:c r="M8" s="386" t="str">
        <x:v>Dec</x:v>
      </x:c>
      <x:c r="N8" s="386" t="str">
        <x:v>Total</x:v>
      </x:c>
      <x:c r="O8" s="6"/>
      <x:c r="P8" s="6"/>
    </x:row>
    <x:row r="9" ht="19.5" customHeight="1">
      <x:c r="A9" s="387" t="str">
        <x:v>Brand campaigns</x:v>
      </x:c>
      <x:c r="B9" s="452" t="n">
        <x:v>6300</x:v>
      </x:c>
      <x:c r="C9" s="452" t="n">
        <x:v>8640</x:v>
      </x:c>
      <x:c r="D9" s="452" t="n">
        <x:v>12240</x:v>
      </x:c>
      <x:c r="E9" s="452" t="n">
        <x:v>16200</x:v>
      </x:c>
      <x:c r="F9" s="452" t="n">
        <x:v>6840</x:v>
      </x:c>
      <x:c r="G9" s="452" t="n">
        <x:v>7200</x:v>
      </x:c>
      <x:c r="H9" s="452" t="n">
        <x:v>8160</x:v>
      </x:c>
      <x:c r="I9" s="452" t="n">
        <x:v>5100</x:v>
      </x:c>
      <x:c r="J9" s="452" t="n">
        <x:v>10800</x:v>
      </x:c>
      <x:c r="K9" s="452" t="n">
        <x:v>8550</x:v>
      </x:c>
      <x:c r="L9" s="452" t="n">
        <x:v>5850</x:v>
      </x:c>
      <x:c r="M9" s="452" t="n">
        <x:v>13440</x:v>
      </x:c>
      <x:c r="N9" s="456" t="n">
        <x:f>SUM(B9:M9)</x:f>
        <x:v>109320</x:v>
      </x:c>
      <x:c r="O9" s="6"/>
      <x:c r="P9" s="6"/>
    </x:row>
    <x:row r="10" ht="19.5" customHeight="1">
      <x:c r="A10" s="387" t="str">
        <x:v>Local store marketing</x:v>
      </x:c>
      <x:c r="B10" s="452" t="n">
        <x:v>2400</x:v>
      </x:c>
      <x:c r="C10" s="452" t="n">
        <x:v>2550</x:v>
      </x:c>
      <x:c r="D10" s="452" t="n">
        <x:v>4320</x:v>
      </x:c>
      <x:c r="E10" s="452" t="n">
        <x:v>3990</x:v>
      </x:c>
      <x:c r="F10" s="452" t="n">
        <x:v>4050</x:v>
      </x:c>
      <x:c r="G10" s="452" t="n">
        <x:v>3360</x:v>
      </x:c>
      <x:c r="H10" s="452" t="n">
        <x:v>4284</x:v>
      </x:c>
      <x:c r="I10" s="452" t="n">
        <x:v>3024</x:v>
      </x:c>
      <x:c r="J10" s="452" t="n">
        <x:v>5244</x:v>
      </x:c>
      <x:c r="K10" s="452" t="n">
        <x:v>3780</x:v>
      </x:c>
      <x:c r="L10" s="452" t="n">
        <x:v>3648</x:v>
      </x:c>
      <x:c r="M10" s="452" t="n">
        <x:v>5304</x:v>
      </x:c>
      <x:c r="N10" s="456" t="n">
        <x:f>SUM(B10:M10)</x:f>
        <x:v>45954</x:v>
      </x:c>
      <x:c r="O10" s="6"/>
      <x:c r="P10" s="6"/>
    </x:row>
    <x:row r="11" ht="19.5" customHeight="1">
      <x:c r="A11" s="387" t="str">
        <x:v>Performance ads</x:v>
      </x:c>
      <x:c r="B11" s="452" t="n">
        <x:v>4590</x:v>
      </x:c>
      <x:c r="C11" s="452" t="n">
        <x:v>5400</x:v>
      </x:c>
      <x:c r="D11" s="452" t="n">
        <x:v>7410</x:v>
      </x:c>
      <x:c r="E11" s="452" t="n">
        <x:v>6300</x:v>
      </x:c>
      <x:c r="F11" s="452" t="n">
        <x:v>4608</x:v>
      </x:c>
      <x:c r="G11" s="452" t="n">
        <x:v>5304</x:v>
      </x:c>
      <x:c r="H11" s="452" t="n">
        <x:v>6480</x:v>
      </x:c>
      <x:c r="I11" s="452" t="n">
        <x:v>4788</x:v>
      </x:c>
      <x:c r="J11" s="452" t="n">
        <x:v>5670</x:v>
      </x:c>
      <x:c r="K11" s="452" t="n">
        <x:v>5376</x:v>
      </x:c>
      <x:c r="L11" s="452" t="n">
        <x:v>5304</x:v>
      </x:c>
      <x:c r="M11" s="452" t="n">
        <x:v>8100</x:v>
      </x:c>
      <x:c r="N11" s="456" t="n">
        <x:f>SUM(B11:M11)</x:f>
        <x:v>69330</x:v>
      </x:c>
      <x:c r="O11" s="6"/>
      <x:c r="P11" s="6"/>
    </x:row>
    <x:row r="12" ht="19.5" customHeight="1">
      <x:c r="A12" s="387" t="str">
        <x:v>Content production</x:v>
      </x:c>
      <x:c r="B12" s="452" t="n">
        <x:v>4104</x:v>
      </x:c>
      <x:c r="C12" s="452" t="n">
        <x:v>4788</x:v>
      </x:c>
      <x:c r="D12" s="452" t="n">
        <x:v>3870</x:v>
      </x:c>
      <x:c r="E12" s="452" t="n">
        <x:v>4608</x:v>
      </x:c>
      <x:c r="F12" s="452" t="n">
        <x:v>3672</x:v>
      </x:c>
      <x:c r="G12" s="452" t="n">
        <x:v>4644</x:v>
      </x:c>
      <x:c r="H12" s="452" t="n">
        <x:v>5130</x:v>
      </x:c>
      <x:c r="I12" s="452" t="n">
        <x:v>2880</x:v>
      </x:c>
      <x:c r="J12" s="452" t="n">
        <x:v>4512</x:v>
      </x:c>
      <x:c r="K12" s="452" t="n">
        <x:v>4284</x:v>
      </x:c>
      <x:c r="L12" s="452" t="n">
        <x:v>4212</x:v>
      </x:c>
      <x:c r="M12" s="452" t="n">
        <x:v>5928</x:v>
      </x:c>
      <x:c r="N12" s="456" t="n">
        <x:f>SUM(B12:M12)</x:f>
        <x:v>52632</x:v>
      </x:c>
      <x:c r="O12" s="6"/>
      <x:c r="P12" s="6"/>
    </x:row>
    <x:row r="13" ht="19.5" customHeight="1">
      <x:c r="A13" s="387" t="str">
        <x:v>CRM &amp; loyalty</x:v>
      </x:c>
      <x:c r="B13" s="452" t="n">
        <x:v>1710</x:v>
      </x:c>
      <x:c r="C13" s="452" t="n">
        <x:v>1530</x:v>
      </x:c>
      <x:c r="D13" s="452" t="n">
        <x:v>2112</x:v>
      </x:c>
      <x:c r="E13" s="452" t="n">
        <x:v>2448</x:v>
      </x:c>
      <x:c r="F13" s="452" t="n">
        <x:v>1944</x:v>
      </x:c>
      <x:c r="G13" s="452" t="n">
        <x:v>2166</x:v>
      </x:c>
      <x:c r="H13" s="452" t="n">
        <x:v>1890</x:v>
      </x:c>
      <x:c r="I13" s="452" t="n">
        <x:v>1632</x:v>
      </x:c>
      <x:c r="J13" s="452" t="n">
        <x:v>2346</x:v>
      </x:c>
      <x:c r="K13" s="452" t="n">
        <x:v>2376</x:v>
      </x:c>
      <x:c r="L13" s="452" t="n">
        <x:v>2394</x:v>
      </x:c>
      <x:c r="M13" s="452" t="n">
        <x:v>2520</x:v>
      </x:c>
      <x:c r="N13" s="456" t="n">
        <x:f>SUM(B13:M13)</x:f>
        <x:v>25068</x:v>
      </x:c>
      <x:c r="O13" s="6"/>
      <x:c r="P13" s="6"/>
    </x:row>
    <x:row r="14" ht="19.5" customHeight="1">
      <x:c r="A14" s="387" t="str">
        <x:v>Influencers / PR</x:v>
      </x:c>
      <x:c r="B14" s="452" t="n">
        <x:v>1620</x:v>
      </x:c>
      <x:c r="C14" s="452" t="n">
        <x:v>2112</x:v>
      </x:c>
      <x:c r="D14" s="452" t="n">
        <x:v>2652</x:v>
      </x:c>
      <x:c r="E14" s="452" t="n">
        <x:v>3024</x:v>
      </x:c>
      <x:c r="F14" s="452" t="n">
        <x:v>1824</x:v>
      </x:c>
      <x:c r="G14" s="452" t="n">
        <x:v>1800</x:v>
      </x:c>
      <x:c r="H14" s="452" t="n">
        <x:v>1824</x:v>
      </x:c>
      <x:c r="I14" s="452" t="n">
        <x:v>1530</x:v>
      </x:c>
      <x:c r="J14" s="452" t="n">
        <x:v>2700</x:v>
      </x:c>
      <x:c r="K14" s="452" t="n">
        <x:v>2964</x:v>
      </x:c>
      <x:c r="L14" s="452" t="n">
        <x:v>2160</x:v>
      </x:c>
      <x:c r="M14" s="452" t="n">
        <x:v>3072</x:v>
      </x:c>
      <x:c r="N14" s="456" t="n">
        <x:f>SUM(B14:M14)</x:f>
        <x:v>27282</x:v>
      </x:c>
      <x:c r="O14" s="6"/>
      <x:c r="P14" s="6"/>
    </x:row>
    <x:row r="15" ht="19.5" customHeight="1">
      <x:c r="A15" s="387" t="str">
        <x:v>Photography / video</x:v>
      </x:c>
      <x:c r="B15" s="452" t="n">
        <x:v>2400</x:v>
      </x:c>
      <x:c r="C15" s="452" t="n">
        <x:v>1836</x:v>
      </x:c>
      <x:c r="D15" s="452" t="n">
        <x:v>2484</x:v>
      </x:c>
      <x:c r="E15" s="452" t="n">
        <x:v>3078</x:v>
      </x:c>
      <x:c r="F15" s="452" t="n">
        <x:v>1350</x:v>
      </x:c>
      <x:c r="G15" s="452" t="n">
        <x:v>1728</x:v>
      </x:c>
      <x:c r="H15" s="452" t="n">
        <x:v>1938</x:v>
      </x:c>
      <x:c r="I15" s="452" t="n">
        <x:v>1512</x:v>
      </x:c>
      <x:c r="J15" s="452" t="n">
        <x:v>2736</x:v>
      </x:c>
      <x:c r="K15" s="452" t="n">
        <x:v>2340</x:v>
      </x:c>
      <x:c r="L15" s="452" t="n">
        <x:v>1920</x:v>
      </x:c>
      <x:c r="M15" s="452" t="n">
        <x:v>2652</x:v>
      </x:c>
      <x:c r="N15" s="456" t="n">
        <x:f>SUM(B15:M15)</x:f>
        <x:v>25974</x:v>
      </x:c>
      <x:c r="O15" s="6"/>
      <x:c r="P15" s="6"/>
    </x:row>
    <x:row r="16" ht="19.5" customHeight="1">
      <x:c r="A16" s="387" t="str">
        <x:v>POS / print / signage</x:v>
      </x:c>
      <x:c r="B16" s="452" t="n">
        <x:v>1224</x:v>
      </x:c>
      <x:c r="C16" s="452" t="n">
        <x:v>1620</x:v>
      </x:c>
      <x:c r="D16" s="452" t="n">
        <x:v>1938</x:v>
      </x:c>
      <x:c r="E16" s="452" t="n">
        <x:v>1890</x:v>
      </x:c>
      <x:c r="F16" s="452" t="n">
        <x:v>1440</x:v>
      </x:c>
      <x:c r="G16" s="452" t="n">
        <x:v>1632</x:v>
      </x:c>
      <x:c r="H16" s="452" t="n">
        <x:v>1836</x:v>
      </x:c>
      <x:c r="I16" s="452" t="n">
        <x:v>1482</x:v>
      </x:c>
      <x:c r="J16" s="452" t="n">
        <x:v>1620</x:v>
      </x:c>
      <x:c r="K16" s="452" t="n">
        <x:v>1536</x:v>
      </x:c>
      <x:c r="L16" s="452" t="n">
        <x:v>1530</x:v>
      </x:c>
      <x:c r="M16" s="452" t="n">
        <x:v>2376</x:v>
      </x:c>
      <x:c r="N16" s="456" t="n">
        <x:f>SUM(B16:M16)</x:f>
        <x:v>20124</x:v>
      </x:c>
      <x:c r="O16" s="6"/>
      <x:c r="P16" s="6"/>
    </x:row>
    <x:row r="17" ht="19.5" customHeight="1">
      <x:c r="A17" s="387" t="str">
        <x:v>Launch support</x:v>
      </x:c>
      <x:c r="B17" s="452" t="n">
        <x:v>0</x:v>
      </x:c>
      <x:c r="C17" s="452" t="n">
        <x:v>0</x:v>
      </x:c>
      <x:c r="D17" s="452" t="n">
        <x:v>2250</x:v>
      </x:c>
      <x:c r="E17" s="452" t="n">
        <x:v>2880</x:v>
      </x:c>
      <x:c r="F17" s="452" t="n">
        <x:v>0</x:v>
      </x:c>
      <x:c r="G17" s="452" t="n">
        <x:v>0</x:v>
      </x:c>
      <x:c r="H17" s="452" t="n">
        <x:v>2508</x:v>
      </x:c>
      <x:c r="I17" s="452" t="n">
        <x:v>0</x:v>
      </x:c>
      <x:c r="J17" s="452" t="n">
        <x:v>0</x:v>
      </x:c>
      <x:c r="K17" s="452" t="n">
        <x:v>2652</x:v>
      </x:c>
      <x:c r="L17" s="452" t="n">
        <x:v>0</x:v>
      </x:c>
      <x:c r="M17" s="452" t="n">
        <x:v>0</x:v>
      </x:c>
      <x:c r="N17" s="456" t="n">
        <x:f>SUM(B17:M17)</x:f>
        <x:v>10290</x:v>
      </x:c>
      <x:c r="O17" s="6"/>
      <x:c r="P17" s="6"/>
    </x:row>
    <x:row r="18" ht="19.5" customHeight="1">
      <x:c r="A18" s="387" t="str">
        <x:v>Experiment budget</x:v>
      </x:c>
      <x:c r="B18" s="452" t="n">
        <x:v>1140</x:v>
      </x:c>
      <x:c r="C18" s="452" t="n">
        <x:v>1080</x:v>
      </x:c>
      <x:c r="D18" s="452" t="n">
        <x:v>1440</x:v>
      </x:c>
      <x:c r="E18" s="452" t="n">
        <x:v>1530</x:v>
      </x:c>
      <x:c r="F18" s="452" t="n">
        <x:v>1080</x:v>
      </x:c>
      <x:c r="G18" s="452" t="n">
        <x:v>1368</x:v>
      </x:c>
      <x:c r="H18" s="452" t="n">
        <x:v>1170</x:v>
      </x:c>
      <x:c r="I18" s="452" t="n">
        <x:v>960</x:v>
      </x:c>
      <x:c r="J18" s="452" t="n">
        <x:v>1530</x:v>
      </x:c>
      <x:c r="K18" s="452" t="n">
        <x:v>1512</x:v>
      </x:c>
      <x:c r="L18" s="452" t="n">
        <x:v>1368</x:v>
      </x:c>
      <x:c r="M18" s="452" t="n">
        <x:v>1440</x:v>
      </x:c>
      <x:c r="N18" s="456" t="n">
        <x:f>SUM(B18:M18)</x:f>
        <x:v>15618</x:v>
      </x:c>
      <x:c r="O18" s="6"/>
      <x:c r="P18" s="6"/>
    </x:row>
    <x:row r="19" ht="19.5" customHeight="1">
      <x:c r="A19" s="387" t="str">
        <x:v>Total</x:v>
      </x:c>
      <x:c r="B19" s="448" t="n">
        <x:f>SUM(B9:B18)</x:f>
        <x:v>25488</x:v>
      </x:c>
      <x:c r="C19" s="448" t="n">
        <x:f>SUM(C9:C18)</x:f>
        <x:v>29556</x:v>
      </x:c>
      <x:c r="D19" s="448" t="n">
        <x:f>SUM(D9:D18)</x:f>
        <x:v>40716</x:v>
      </x:c>
      <x:c r="E19" s="448" t="n">
        <x:f>SUM(E9:E18)</x:f>
        <x:v>45948</x:v>
      </x:c>
      <x:c r="F19" s="448" t="n">
        <x:f>SUM(F9:F18)</x:f>
        <x:v>26808</x:v>
      </x:c>
      <x:c r="G19" s="448" t="n">
        <x:f>SUM(G9:G18)</x:f>
        <x:v>29202</x:v>
      </x:c>
      <x:c r="H19" s="448" t="n">
        <x:f>SUM(H9:H18)</x:f>
        <x:v>35220</x:v>
      </x:c>
      <x:c r="I19" s="448" t="n">
        <x:f>SUM(I9:I18)</x:f>
        <x:v>22908</x:v>
      </x:c>
      <x:c r="J19" s="448" t="n">
        <x:f>SUM(J9:J18)</x:f>
        <x:v>37158</x:v>
      </x:c>
      <x:c r="K19" s="448" t="n">
        <x:f>SUM(K9:K18)</x:f>
        <x:v>35370</x:v>
      </x:c>
      <x:c r="L19" s="448" t="n">
        <x:f>SUM(L9:L18)</x:f>
        <x:v>28386</x:v>
      </x:c>
      <x:c r="M19" s="448" t="n">
        <x:f>SUM(M9:M18)</x:f>
        <x:v>44832</x:v>
      </x:c>
      <x:c r="N19" s="456" t="n">
        <x:f>SUM(N9:N18)</x:f>
        <x:v>401592</x:v>
      </x:c>
      <x:c r="O19" s="6"/>
      <x:c r="P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</x:row>
  </x:sheetData>
  <x:mergeCells>
    <x:mergeCell ref="A1:N2"/>
    <x:mergeCell ref="A3:N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.860000610351562" hidden="0" customWidth="1"/>
    <x:col min="3" max="3" width="17.860000610351562" hidden="0" customWidth="1"/>
    <x:col min="4" max="4" width="17.860000610351562" hidden="0" customWidth="1"/>
    <x:col min="5" max="5" width="17.860000610351562" hidden="0" customWidth="1"/>
    <x:col min="6" max="6" width="16.43000030517578" hidden="0" customWidth="1"/>
    <x:col min="7" max="7" width="16.43000030517578" hidden="0" customWidth="1"/>
    <x:col min="8" max="8" width="16.43000030517578" hidden="0" customWidth="1"/>
    <x:col min="9" max="9" width="16.43000030517578" hidden="0" customWidth="1"/>
    <x:col min="10" max="10" width="16.43000030517578" hidden="0" customWidth="1"/>
    <x:col min="11" max="11" width="16.43000030517578" hidden="0" customWidth="1"/>
    <x:col min="12" max="12" width="16.43000030517578" hidden="0" customWidth="1"/>
    <x:col min="13" max="13" width="16.43000030517578" hidden="0" customWidth="1"/>
  </x:cols>
  <x:sheetData>
    <x:row r="1" ht="25.5" customHeight="1">
      <x:c r="A1" s="56" t="str">
        <x:v>Budget Control Dashboard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80"/>
      <x:c r="N1" s="6"/>
      <x:c r="O1" s="6"/>
    </x:row>
    <x:row r="2" ht="25.5" customHeight="1">
      <x:c r="A2" s="57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81"/>
      <x:c r="N2" s="6"/>
      <x:c r="O2" s="6"/>
    </x:row>
    <x:row r="3" ht="19.5" customHeight="1">
      <x:c r="A3" s="58" t="str">
        <x:v>Compare planned and actual spend before budget drift becomes permanent.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82"/>
      <x:c r="N3" s="6"/>
      <x:c r="O3" s="6"/>
    </x:row>
    <x:row r="4" ht="19.5" customHeight="1">
      <x:c r="A4" s="59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83"/>
      <x:c r="N4" s="6"/>
      <x:c r="O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</x:row>
    <x:row r="8" ht="18" customHeight="1">
      <x:c r="A8" s="590" t="str">
        <x:v>Budget view</x:v>
      </x:c>
      <x:c r="B8" s="590" t="str">
        <x:v>Value</x:v>
      </x:c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</x:row>
    <x:row r="9" ht="22.5" customHeight="1">
      <x:c r="A9" s="591" t="str">
        <x:v>Planned annual spend</x:v>
      </x:c>
      <x:c r="B9" s="592" t="n">
        <x:f>Budget!N19</x:f>
        <x:v>395000</x:v>
      </x:c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</x:row>
    <x:row r="10" ht="22.5" customHeight="1">
      <x:c r="A10" s="591" t="str">
        <x:v>Actual annual spend</x:v>
      </x:c>
      <x:c r="B10" s="592" t="n">
        <x:f>Actuals!N19</x:f>
        <x:v>401592</x:v>
      </x:c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</x:row>
    <x:row r="11" ht="22.5" customHeight="1">
      <x:c r="A11" s="591" t="str">
        <x:v>Variance</x:v>
      </x:c>
      <x:c r="B11" s="592" t="n">
        <x:f>Actuals!N19-Budget!N19</x:f>
        <x:v>6592</x:v>
      </x:c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</x:row>
    <x:row r="12" ht="22.5" customHeight="1">
      <x:c r="A12" s="591" t="str">
        <x:v>Variance %</x:v>
      </x:c>
      <x:c r="B12" s="593" t="n">
        <x:f>IF(Budget!N19=0,"",(Actuals!N19-Budget!N19)/Budget!N19)</x:f>
        <x:v>0.01668860759493671</x:v>
      </x:c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</x:row>
    <x:row r="15" ht="18" customHeight="1">
      <x:c r="A15" s="386" t="str">
        <x:v>Month</x:v>
      </x:c>
      <x:c r="B15" s="386" t="str">
        <x:v>Planned</x:v>
      </x:c>
      <x:c r="C15" s="386" t="str">
        <x:v>Actual</x:v>
      </x:c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</x:row>
    <x:row r="16" ht="19.5" customHeight="1">
      <x:c r="A16" s="387" t="str">
        <x:v>Jan</x:v>
      </x:c>
      <x:c r="B16" s="456" t="n">
        <x:f>Budget!B19</x:f>
        <x:v>25800</x:v>
      </x:c>
      <x:c r="C16" s="456" t="n">
        <x:f>Actuals!B19</x:f>
        <x:v>25488</x:v>
      </x:c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</x:row>
    <x:row r="17" ht="19.5" customHeight="1">
      <x:c r="A17" s="387" t="str">
        <x:v>Feb</x:v>
      </x:c>
      <x:c r="B17" s="456" t="n">
        <x:f>Budget!C19</x:f>
        <x:v>29100</x:v>
      </x:c>
      <x:c r="C17" s="456" t="n">
        <x:f>Actuals!C19</x:f>
        <x:v>29556</x:v>
      </x:c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</x:row>
    <x:row r="18" ht="19.5" customHeight="1">
      <x:c r="A18" s="387" t="str">
        <x:v>Mar</x:v>
      </x:c>
      <x:c r="B18" s="456" t="n">
        <x:f>Budget!D19</x:f>
        <x:v>39600</x:v>
      </x:c>
      <x:c r="C18" s="456" t="n">
        <x:f>Actuals!D19</x:f>
        <x:v>40716</x:v>
      </x:c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</x:row>
    <x:row r="19" ht="19.5" customHeight="1">
      <x:c r="A19" s="387" t="str">
        <x:v>Apr</x:v>
      </x:c>
      <x:c r="B19" s="456" t="n">
        <x:f>Budget!E19</x:f>
        <x:v>44800</x:v>
      </x:c>
      <x:c r="C19" s="456" t="n">
        <x:f>Actuals!E19</x:f>
        <x:v>45948</x:v>
      </x:c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</x:row>
    <x:row r="20" ht="19.5" customHeight="1">
      <x:c r="A20" s="387" t="str">
        <x:v>May</x:v>
      </x:c>
      <x:c r="B20" s="456" t="n">
        <x:f>Budget!F19</x:f>
        <x:v>26300</x:v>
      </x:c>
      <x:c r="C20" s="456" t="n">
        <x:f>Actuals!F19</x:f>
        <x:v>26808</x:v>
      </x:c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</x:row>
    <x:row r="21" ht="19.5" customHeight="1">
      <x:c r="A21" s="387" t="str">
        <x:v>Jun</x:v>
      </x:c>
      <x:c r="B21" s="456" t="n">
        <x:f>Budget!G19</x:f>
        <x:v>29500</x:v>
      </x:c>
      <x:c r="C21" s="456" t="n">
        <x:f>Actuals!G19</x:f>
        <x:v>29202</x:v>
      </x:c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</x:row>
    <x:row r="22" ht="19.5" customHeight="1">
      <x:c r="A22" s="387" t="str">
        <x:v>Jul</x:v>
      </x:c>
      <x:c r="B22" s="456" t="n">
        <x:f>Budget!H19</x:f>
        <x:v>34300</x:v>
      </x:c>
      <x:c r="C22" s="456" t="n">
        <x:f>Actuals!H19</x:f>
        <x:v>35220</x:v>
      </x:c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</x:row>
    <x:row r="23" ht="19.5" customHeight="1">
      <x:c r="A23" s="387" t="str">
        <x:v>Aug</x:v>
      </x:c>
      <x:c r="B23" s="456" t="n">
        <x:f>Budget!I19</x:f>
        <x:v>22100</x:v>
      </x:c>
      <x:c r="C23" s="456" t="n">
        <x:f>Actuals!I19</x:f>
        <x:v>22908</x:v>
      </x:c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</x:row>
    <x:row r="24" ht="19.5" customHeight="1">
      <x:c r="A24" s="387" t="str">
        <x:v>Sep</x:v>
      </x:c>
      <x:c r="B24" s="456" t="n">
        <x:f>Budget!J19</x:f>
        <x:v>36100</x:v>
      </x:c>
      <x:c r="C24" s="456" t="n">
        <x:f>Actuals!J19</x:f>
        <x:v>37158</x:v>
      </x:c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</x:row>
    <x:row r="25" ht="19.5" customHeight="1">
      <x:c r="A25" s="387" t="str">
        <x:v>Oct</x:v>
      </x:c>
      <x:c r="B25" s="456" t="n">
        <x:f>Budget!K19</x:f>
        <x:v>34500</x:v>
      </x:c>
      <x:c r="C25" s="456" t="n">
        <x:f>Actuals!K19</x:f>
        <x:v>35370</x:v>
      </x:c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</x:row>
    <x:row r="26" ht="19.5" customHeight="1">
      <x:c r="A26" s="387" t="str">
        <x:v>Nov</x:v>
      </x:c>
      <x:c r="B26" s="456" t="n">
        <x:f>Budget!L19</x:f>
        <x:v>28600</x:v>
      </x:c>
      <x:c r="C26" s="456" t="n">
        <x:f>Actuals!L19</x:f>
        <x:v>28386</x:v>
      </x:c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</x:row>
    <x:row r="27" ht="19.5" customHeight="1">
      <x:c r="A27" s="387" t="str">
        <x:v>Dec</x:v>
      </x:c>
      <x:c r="B27" s="456" t="n">
        <x:f>Budget!M19</x:f>
        <x:v>44300</x:v>
      </x:c>
      <x:c r="C27" s="456" t="n">
        <x:f>Actuals!M19</x:f>
        <x:v>44832</x:v>
      </x:c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</x:row>
  </x:sheetData>
  <x:mergeCells>
    <x:mergeCell ref="A1:M2"/>
    <x:mergeCell ref="A3:M4"/>
  </x:mergeCells>
  <x:pageMargins left="0.7" right="0.7" top="0.75" bottom="0.75" header="0.3" footer="0.3"/>
  <x:drawing xmlns:r="http://schemas.openxmlformats.org/officeDocument/2006/relationships" r:id="Rea44846a5a0d4d46"/>
</x:worksheet>
</file>